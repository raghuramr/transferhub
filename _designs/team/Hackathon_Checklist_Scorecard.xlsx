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ource\repos\raghuramr\transferhub\_designs\team\"/>
    </mc:Choice>
  </mc:AlternateContent>
  <xr:revisionPtr revIDLastSave="0" documentId="8_{DF287D82-F64B-408F-9AEB-3964364F257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Jury Scorecard" sheetId="1" r:id="rId1"/>
    <sheet name="Scoring Guide" sheetId="2" r:id="rId2"/>
    <sheet name="Submission Checklist" sheetId="3" r:id="rId3"/>
  </sheets>
  <definedNames>
    <definedName name="_xlnm.Print_Titles" localSheetId="0">'Jury Scorecard'!$7:$7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7" i="1" l="1"/>
  <c r="C38" i="1" s="1"/>
  <c r="I29" i="1"/>
  <c r="C29" i="1"/>
  <c r="I25" i="1"/>
  <c r="I23" i="1"/>
  <c r="I20" i="1"/>
  <c r="C20" i="1"/>
  <c r="I15" i="1"/>
  <c r="C15" i="1"/>
  <c r="I11" i="1"/>
  <c r="C11" i="1"/>
  <c r="I8" i="1"/>
  <c r="C8" i="1"/>
  <c r="C34" i="1" l="1"/>
  <c r="I34" i="1"/>
  <c r="C39" i="1" s="1"/>
  <c r="C40" i="1" s="1"/>
</calcChain>
</file>

<file path=xl/sharedStrings.xml><?xml version="1.0" encoding="utf-8"?>
<sst xmlns="http://schemas.openxmlformats.org/spreadsheetml/2006/main" count="199" uniqueCount="196">
  <si>
    <t>Hackathon Jury Scorecard - AI Agent Solutions (100 points)</t>
  </si>
  <si>
    <t>Team name</t>
  </si>
  <si>
    <t>Score only what the team shows. Enter a score (0 to Max) in the yellow Score column; the Band and totals calculate. Claims without evidence score no higher than Average. Rules are on the Scoring Guide sheet.</t>
  </si>
  <si>
    <t>Juror</t>
  </si>
  <si>
    <t>Date</t>
  </si>
  <si>
    <t>#</t>
  </si>
  <si>
    <t>Criterion</t>
  </si>
  <si>
    <t>Max</t>
  </si>
  <si>
    <t>Evidence the team should share</t>
  </si>
  <si>
    <t>Below avg
(under 40%)</t>
  </si>
  <si>
    <t>Average
(40-64%)</t>
  </si>
  <si>
    <t>Good
(65-85%)</t>
  </si>
  <si>
    <t>Excellent
(over 85%)</t>
  </si>
  <si>
    <t>Score</t>
  </si>
  <si>
    <t>Band</t>
  </si>
  <si>
    <t>Notes (what evidence justified the score)</t>
  </si>
  <si>
    <t>1. Discovery of requirements</t>
  </si>
  <si>
    <t>1.1</t>
  </si>
  <si>
    <t>Problem understanding</t>
  </si>
  <si>
    <t>One-page problem statement or slide naming the target users, their pain points and the business reason; any user or sponsor input; a baseline number.</t>
  </si>
  <si>
    <t>Problem statement missing or unclear; target users and benefit not identified.</t>
  </si>
  <si>
    <t>Users and benefit named, but pain points and business reason are not backed by any data or user input.</t>
  </si>
  <si>
    <t>Clear problem statement with target users, pain points and business reason, supported by some data or user input.</t>
  </si>
  <si>
    <t>Good, plus a baseline number (e.g. time, cost or error rate today) that shows the size of the problem.</t>
  </si>
  <si>
    <t>1.2</t>
  </si>
  <si>
    <t>Requirements, scope &amp; traceability</t>
  </si>
  <si>
    <t>Requirements document or table (functional, non-functional, assumptions, constraints, out of scope) and a requirement-to-feature mapping with edge cases listed.</t>
  </si>
  <si>
    <t>No written requirements, or features cannot be linked to any requirement.</t>
  </si>
  <si>
    <t>Functional requirements listed; non-functional, assumptions, constraints or out-of-scope missing; only some requirements mapped to features.</t>
  </si>
  <si>
    <t>Functional and non-functional requirements, assumptions and constraints documented; every key requirement maps to a feature; edge cases listed.</t>
  </si>
  <si>
    <t>Good, plus an explicit out-of-scope list, and each listed edge case is handled or tested in the app.</t>
  </si>
  <si>
    <t>2. Working solution</t>
  </si>
  <si>
    <t>2.1</t>
  </si>
  <si>
    <t>End-to-end flow works</t>
  </si>
  <si>
    <t>Live run in front of the jury (or an unedited recording) of the core use case on the jury's test inputs, from UI to final result.</t>
  </si>
  <si>
    <t>App fails to start, crashes on the jury's inputs, or only part of the core use case works.</t>
  </si>
  <si>
    <t>Full use case works on normal inputs, but needs manual steps (data fixes, restarts, config edits).</t>
  </si>
  <si>
    <t>Full use case runs from UI to result in one go on all jury test inputs, with no manual help.</t>
  </si>
  <si>
    <t>Good, plus works correctly on unseen or larger inputs given on the spot.</t>
  </si>
  <si>
    <t>2.2</t>
  </si>
  <si>
    <t>Stability, error handling &amp; edge cases</t>
  </si>
  <si>
    <t>Live demo with bad inputs (empty, malformed, oversized, missing field) showing how the app responds; screenshots or logs of the error messages.</t>
  </si>
  <si>
    <t>App crashes, or returns a wrong answer without any warning, on bad input.</t>
  </si>
  <si>
    <t>Stable on normal inputs, but bad input is not checked and gives no error message.</t>
  </si>
  <si>
    <t>No crash during the demo; errors are caught and shown with a readable message.</t>
  </si>
  <si>
    <t>Empty, malformed and large inputs all handled with clear messages; never a crash or a silently wrong result.</t>
  </si>
  <si>
    <t>2.3</t>
  </si>
  <si>
    <t>UI &amp; output quality</t>
  </si>
  <si>
    <t>The result screen or report shown in the demo, as the customer would see it.</t>
  </si>
  <si>
    <t>Output is incorrect or unusable, or the UI is confusing.</t>
  </si>
  <si>
    <t>Output is correct but raw or unlabelled; the team has to explain it.</t>
  </si>
  <si>
    <t>Output is usable by the customer as-is, with labels, units and a summary; main actions are obvious.</t>
  </si>
  <si>
    <t>Good, with consistent, polished formatting; a new user completes the main flow without guidance.</t>
  </si>
  <si>
    <t>3. Technical depth &amp; documentation</t>
  </si>
  <si>
    <t>3.1</t>
  </si>
  <si>
    <t>README &amp; setup</t>
  </si>
  <si>
    <t>README in the repo with prerequisites, configuration and run steps; sample config (e.g. .env.example) and sample input.</t>
  </si>
  <si>
    <t>README missing, or the steps do not run.</t>
  </si>
  <si>
    <t>README exists, but setup needs guesswork or help from the team.</t>
  </si>
  <si>
    <t>A new person can clone, configure and run the app by following the README alone.</t>
  </si>
  <si>
    <t>Good, plus prerequisites, sample config, sample input and troubleshooting tips; verified on a clean machine.</t>
  </si>
  <si>
    <t>3.2</t>
  </si>
  <si>
    <t>Agent instruction files</t>
  </si>
  <si>
    <t>Instruction files for the Dev, DevOps and QA agents in the repo (role, scope, inputs, outputs, guardrails) and sample outputs each agent produced.</t>
  </si>
  <si>
    <t>No agent instruction files, or only one agent has one.</t>
  </si>
  <si>
    <t>Files exist for the agents, but role, scope, inputs or outputs are vague.</t>
  </si>
  <si>
    <t>Dev, DevOps and QA agents each have a clear role, scope, inputs and outputs written down.</t>
  </si>
  <si>
    <t>Good, plus written guardrails per agent and real agent outputs shown (e.g. pull requests, test reports, pipeline changes).</t>
  </si>
  <si>
    <t>3.3</t>
  </si>
  <si>
    <t>Architecture &amp; design choices</t>
  </si>
  <si>
    <t>Architecture diagram or write-up with the tech stack and a short decision log (why this tool, not the alternative).</t>
  </si>
  <si>
    <t>No architecture diagram or description; team cannot explain why the stack was chosen.</t>
  </si>
  <si>
    <t>Diagram or description and a suitable stack, but the choices are not justified.</t>
  </si>
  <si>
    <t>Diagram or description, tech stack, and key decisions with reasons (why this, not that).</t>
  </si>
  <si>
    <t>Good, with trade-offs and alternatives recorded; team explains each choice clearly when questioned.</t>
  </si>
  <si>
    <t>3.4</t>
  </si>
  <si>
    <t>Code quality</t>
  </si>
  <si>
    <t>Link to the repo: folder structure, config files, and a search of the code for hard-coded keys, paths and URLs.</t>
  </si>
  <si>
    <t>Code is one large block, or contains hard-coded secrets or paths.</t>
  </si>
  <si>
    <t>Code works but sits mostly in one place, with some hard-coded values.</t>
  </si>
  <si>
    <t>Code is split into clear modules; no hard-coded secrets or file paths.</t>
  </si>
  <si>
    <t>Config-driven, clean layers; simplest approach that solves the problem, nothing added for show.</t>
  </si>
  <si>
    <t>4. Business impact &amp; scalability</t>
  </si>
  <si>
    <t>4.1</t>
  </si>
  <si>
    <t>Measured business benefit</t>
  </si>
  <si>
    <t>Before-vs-after numbers (e.g. minutes saved, cost, accuracy) with how they were measured; a comparison table or test run.</t>
  </si>
  <si>
    <t>Benefit not stated.</t>
  </si>
  <si>
    <t>Benefit stated in words only, with no numbers or measurement.</t>
  </si>
  <si>
    <t>Benefit measured in numbers, before vs after.</t>
  </si>
  <si>
    <t>Good, tied to the sponsor's own KPI or cost, with the baseline and method shown.</t>
  </si>
  <si>
    <t>4.2</t>
  </si>
  <si>
    <t>Scalability &amp; reusability</t>
  </si>
  <si>
    <t>Test run on realistic data volume (data size, time taken); short note on what changes at 10x load and what can be reused for other clients.</t>
  </si>
  <si>
    <t>No test on larger data and no note on how it would scale.</t>
  </si>
  <si>
    <t>Tested on demo-size data only.</t>
  </si>
  <si>
    <t>Tested on realistic data volume, with results shown (data size, time taken).</t>
  </si>
  <si>
    <t>Good, plus shows reuse for another client or use case with little change, and explains what breaks at 10x load.</t>
  </si>
  <si>
    <t>5. Innovation</t>
  </si>
  <si>
    <t>5.1</t>
  </si>
  <si>
    <t>New idea that improves the result</t>
  </si>
  <si>
    <t>Description of the new idea or feature and a before-vs-after comparison (accuracy, speed or UX) showing it improves the result.</t>
  </si>
  <si>
    <t>Only the base problem attempted; no extra feature or idea.</t>
  </si>
  <si>
    <t>Known approach with minor tweaks; extras added, but no improvement shown.</t>
  </si>
  <si>
    <t>At least one new idea, shown to improve accuracy, speed or UX with a before-vs-after comparison.</t>
  </si>
  <si>
    <t>New approach that solves a whole class of problems, and is ready to present to the customer.</t>
  </si>
  <si>
    <t>6. Presentation</t>
  </si>
  <si>
    <t>6.1</t>
  </si>
  <si>
    <t>Demo video</t>
  </si>
  <si>
    <t>Demo video link showing the real app and the main flow, within the time limit.</t>
  </si>
  <si>
    <t>Video shows mockups instead of the real app, runs over the time limit, or shows the app crashing.</t>
  </si>
  <si>
    <t>Real app shown, but the main flow is incomplete or hard to follow.</t>
  </si>
  <si>
    <t>Real working app shown, covering the main flow within the time limit.</t>
  </si>
  <si>
    <t>Good, plus a bad-input case shown and the result explained clearly.</t>
  </si>
  <si>
    <t>6.2</t>
  </si>
  <si>
    <t>Story &amp; business value</t>
  </si>
  <si>
    <t>Pitch or slides showing problem, solution and impact, with the impact numbers from 4.1.</t>
  </si>
  <si>
    <t>No clear link from problem to solution to impact.</t>
  </si>
  <si>
    <t>Problem and solution explained; impact claimed without numbers.</t>
  </si>
  <si>
    <t>Clear flow from problem to solution to impact.</t>
  </si>
  <si>
    <t>Good, with benefits the sponsor cares about, backed by measured numbers.</t>
  </si>
  <si>
    <t>6.3</t>
  </si>
  <si>
    <t>Clarity of message</t>
  </si>
  <si>
    <t>Pitch or talk after which a listener can restate the problem and the solution. A PPT helps but is not required.</t>
  </si>
  <si>
    <t>Message is hard to follow.</t>
  </si>
  <si>
    <t>Understandable, but cluttered or needs extra explanation.</t>
  </si>
  <si>
    <t>Easy to follow from start to end.</t>
  </si>
  <si>
    <t>Concise and consistent, with visuals that support the message.</t>
  </si>
  <si>
    <t>7. Go-live readiness</t>
  </si>
  <si>
    <t>7.1</t>
  </si>
  <si>
    <t>Deployment &amp; DevOps</t>
  </si>
  <si>
    <t>Live URL or deploy script; IaC files or a CI/CD pipeline run; separate config for dev, test and prod.</t>
  </si>
  <si>
    <t>Runs only on a local machine, started by hand; no deployment steps.</t>
  </si>
  <si>
    <t>Deployable with manual steps; config mixed into the code.</t>
  </si>
  <si>
    <t>Deployed, or deployable with IaC or CI/CD; environments and config separated.</t>
  </si>
  <si>
    <t>Good, plus a fully automated pipeline that deploys from scratch, repeatably.</t>
  </si>
  <si>
    <t>7.2</t>
  </si>
  <si>
    <t>Testing &amp; QA</t>
  </si>
  <si>
    <t>Test suite in the repo, a test run or CI log, and QA agent output.</t>
  </si>
  <si>
    <t>No tests.</t>
  </si>
  <si>
    <t>A few tests, but not run or no results shown.</t>
  </si>
  <si>
    <t>Automated tests present and run, with QA agent output or test results shown.</t>
  </si>
  <si>
    <t>Good, with tests covering edge cases and the jury's inputs; results repeatable.</t>
  </si>
  <si>
    <t>7.3</t>
  </si>
  <si>
    <t>Security</t>
  </si>
  <si>
    <t>Result of a secrets scan of the repo; how credentials are stored (env vars or secret store); how access is controlled (login, roles).</t>
  </si>
  <si>
    <t>Secrets (keys, passwords) found in the repo.</t>
  </si>
  <si>
    <t>No secrets in the code, but credentials handled informally.</t>
  </si>
  <si>
    <t>No secrets in repo; credentials in env vars or a secret store; access controlled.</t>
  </si>
  <si>
    <t>Good, plus least-privilege access and a documented authentication model.</t>
  </si>
  <si>
    <t>7.4</t>
  </si>
  <si>
    <t>Gaps &amp; roadmap</t>
  </si>
  <si>
    <t>Limitations and roadmap slide or document: known gaps, and the steps and effort needed to reach production.</t>
  </si>
  <si>
    <t>No limitations or next steps listed.</t>
  </si>
  <si>
    <t>Limitations listed but vague; no path to production.</t>
  </si>
  <si>
    <t>Honest list of known limitations and what is needed to reach production.</t>
  </si>
  <si>
    <t>Good, plus a prioritised roadmap that includes handling 10x load.</t>
  </si>
  <si>
    <t>TOTAL</t>
  </si>
  <si>
    <t>Result</t>
  </si>
  <si>
    <t>Core solution score (2.1 + 2.2), % of Max</t>
  </si>
  <si>
    <t>Gate: core solution at least 40%?</t>
  </si>
  <si>
    <t>Total score (out of 100)</t>
  </si>
  <si>
    <t>Final rating</t>
  </si>
  <si>
    <t>Scoring Guide</t>
  </si>
  <si>
    <t>% of Max</t>
  </si>
  <si>
    <t>Meaning</t>
  </si>
  <si>
    <t>Below avg</t>
  </si>
  <si>
    <t>Under 40%</t>
  </si>
  <si>
    <t>Core points missing, or evidence shows it does not work.</t>
  </si>
  <si>
    <t>Average</t>
  </si>
  <si>
    <t>40% to 64%</t>
  </si>
  <si>
    <t>Partly meets the criterion; gaps or manual help needed.</t>
  </si>
  <si>
    <t>Good</t>
  </si>
  <si>
    <t>65% to 85%</t>
  </si>
  <si>
    <t>Meets the criterion fully, shown with evidence.</t>
  </si>
  <si>
    <t>Excellent</t>
  </si>
  <si>
    <t>Over 85%</t>
  </si>
  <si>
    <t>Meets everything in Good and adds the extra described, shown with evidence.</t>
  </si>
  <si>
    <t>Rules</t>
  </si>
  <si>
    <t>1. Score each criterion from 0 to its Max, to one decimal, using the evidence column. Write in Notes which evidence justified the score.</t>
  </si>
  <si>
    <t>2. Pick the band whose description best matches what the team showed, then place the score within that band. Excellent needs all the Good points plus the extra.</t>
  </si>
  <si>
    <t>3. A claim without evidence (nothing shown, linked or demonstrated) scores no higher than Average.</t>
  </si>
  <si>
    <t>4. If a Below avg point is present (a crash, a wrong output, secrets in the repo), that criterion stays in Below avg.</t>
  </si>
  <si>
    <t>5. Gate: if criteria 2.1 and 2.2 together score under 40% of their Max, the team is Below avg overall, whatever the total.</t>
  </si>
  <si>
    <t>6. Final rating from the 100-point total: over 85 Excellent, 65 to 85 Good, 40 to 64 Average, under 40 Below avg. The gate overrides it.</t>
  </si>
  <si>
    <t>Example: criterion 2.1 (Max 10) runs the full use case but needed one manual config step = Average band, so score 4.0 to 6.4.</t>
  </si>
  <si>
    <t>Requirement</t>
  </si>
  <si>
    <t>Where</t>
  </si>
  <si>
    <t>Source code in the team’s GitHub repo, with a README that explains how to set up and run it</t>
  </si>
  <si>
    <t>GitHub</t>
  </si>
  <si>
    <t>Discovery doc (MD) covering the problem, users, requirements and scope</t>
  </si>
  <si>
    <t>Agent instruction files (MD) for the dev, DevOps and QA agents (.claude/.copilot folders)</t>
  </si>
  <si>
    <t>Working demo video showing the end-to-end flow</t>
  </si>
  <si>
    <t>SharePoint, linked in the README</t>
  </si>
  <si>
    <t>PPT  (Optional)</t>
  </si>
  <si>
    <t>SharePoint</t>
  </si>
  <si>
    <t>Clopay CodeCrafters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</si>
</sst>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12"/>
      <color rgb="FF000000"/>
      <name val="Arial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horizontal="center" vertical="top" wrapText="1"/>
    </xf>
    <xf numFmtId="0" fontId="8" fillId="0" borderId="0" xfId="0" applyFont="1"/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3" fillId="2" borderId="1" xfId="0" applyFont="1" applyFill="1" applyBorder="1"/>
    <xf numFmtId="9" fontId="2" fillId="0" borderId="1" xfId="0" applyNumberFormat="1" applyFont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9" sqref="E9"/>
    </sheetView>
  </sheetViews>
  <sheetFormatPr defaultColWidth="8.7109375" defaultRowHeight="15" x14ac:dyDescent="0.25"/>
  <cols>
    <col min="1" max="1" width="5" customWidth="1"/>
    <col min="2" max="2" width="26" customWidth="1"/>
    <col min="3" max="3" width="6" customWidth="1"/>
    <col min="4" max="4" width="36" customWidth="1"/>
    <col min="5" max="8" width="28" customWidth="1"/>
    <col min="9" max="9" width="8" customWidth="1"/>
    <col min="10" max="10" width="32" customWidth="1"/>
  </cols>
  <sheetData>
    <row r="1" spans="1:10" ht="18" x14ac:dyDescent="0.25">
      <c r="A1" s="1" t="s">
        <v>0</v>
      </c>
    </row>
    <row r="3" spans="1:10" ht="15" customHeight="1" x14ac:dyDescent="0.25">
      <c r="B3" s="2" t="s">
        <v>1</v>
      </c>
      <c r="C3" s="22" t="s">
        <v>195</v>
      </c>
      <c r="D3" s="22"/>
      <c r="E3" s="22"/>
      <c r="G3" s="19" t="s">
        <v>2</v>
      </c>
      <c r="H3" s="19"/>
      <c r="I3" s="19"/>
      <c r="J3" s="19"/>
    </row>
    <row r="4" spans="1:10" x14ac:dyDescent="0.25">
      <c r="B4" s="2" t="s">
        <v>3</v>
      </c>
      <c r="C4" s="22"/>
      <c r="D4" s="22"/>
      <c r="E4" s="22"/>
      <c r="G4" s="19"/>
      <c r="H4" s="19"/>
      <c r="I4" s="19"/>
      <c r="J4" s="19"/>
    </row>
    <row r="5" spans="1:10" x14ac:dyDescent="0.25">
      <c r="B5" s="2" t="s">
        <v>4</v>
      </c>
      <c r="C5" s="24">
        <v>46325</v>
      </c>
      <c r="D5" s="25"/>
      <c r="E5" s="25"/>
      <c r="G5" s="19"/>
      <c r="H5" s="19"/>
      <c r="I5" s="19"/>
      <c r="J5" s="19"/>
    </row>
    <row r="7" spans="1:10" ht="31.5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15</v>
      </c>
    </row>
    <row r="8" spans="1:10" ht="25.5" x14ac:dyDescent="0.25">
      <c r="A8" s="4"/>
      <c r="B8" s="5" t="s">
        <v>16</v>
      </c>
      <c r="C8" s="4">
        <f>SUM(C9:C10)</f>
        <v>15</v>
      </c>
      <c r="D8" s="4"/>
      <c r="E8" s="4"/>
      <c r="F8" s="4"/>
      <c r="G8" s="4"/>
      <c r="H8" s="4"/>
      <c r="I8" s="6">
        <f>SUM(I9:I10)</f>
        <v>0</v>
      </c>
      <c r="J8" s="4"/>
    </row>
    <row r="9" spans="1:10" ht="55.5" customHeight="1" x14ac:dyDescent="0.25">
      <c r="A9" s="7" t="s">
        <v>17</v>
      </c>
      <c r="B9" s="8" t="s">
        <v>18</v>
      </c>
      <c r="C9" s="7">
        <v>5</v>
      </c>
      <c r="D9" s="9" t="s">
        <v>19</v>
      </c>
      <c r="E9" s="9" t="s">
        <v>20</v>
      </c>
      <c r="F9" s="9" t="s">
        <v>21</v>
      </c>
      <c r="G9" s="9" t="s">
        <v>22</v>
      </c>
      <c r="H9" s="9" t="s">
        <v>23</v>
      </c>
      <c r="I9" s="10"/>
      <c r="J9" s="11"/>
    </row>
    <row r="10" spans="1:10" ht="68.25" customHeight="1" x14ac:dyDescent="0.25">
      <c r="A10" s="7" t="s">
        <v>24</v>
      </c>
      <c r="B10" s="8" t="s">
        <v>25</v>
      </c>
      <c r="C10" s="7">
        <v>10</v>
      </c>
      <c r="D10" s="9" t="s">
        <v>26</v>
      </c>
      <c r="E10" s="9" t="s">
        <v>27</v>
      </c>
      <c r="F10" s="9" t="s">
        <v>28</v>
      </c>
      <c r="G10" s="9" t="s">
        <v>29</v>
      </c>
      <c r="H10" s="9" t="s">
        <v>30</v>
      </c>
      <c r="I10" s="10"/>
      <c r="J10" s="11"/>
    </row>
    <row r="11" spans="1:10" x14ac:dyDescent="0.25">
      <c r="A11" s="4"/>
      <c r="B11" s="5" t="s">
        <v>31</v>
      </c>
      <c r="C11" s="4">
        <f>SUM(C12:C14)</f>
        <v>22</v>
      </c>
      <c r="D11" s="4"/>
      <c r="E11" s="4"/>
      <c r="F11" s="4"/>
      <c r="G11" s="4"/>
      <c r="H11" s="4"/>
      <c r="I11" s="6">
        <f>SUM(I12:I14)</f>
        <v>0</v>
      </c>
      <c r="J11" s="4"/>
    </row>
    <row r="12" spans="1:10" ht="55.5" customHeight="1" x14ac:dyDescent="0.25">
      <c r="A12" s="7" t="s">
        <v>32</v>
      </c>
      <c r="B12" s="8" t="s">
        <v>33</v>
      </c>
      <c r="C12" s="7">
        <v>10</v>
      </c>
      <c r="D12" s="9" t="s">
        <v>34</v>
      </c>
      <c r="E12" s="9" t="s">
        <v>35</v>
      </c>
      <c r="F12" s="9" t="s">
        <v>36</v>
      </c>
      <c r="G12" s="9" t="s">
        <v>37</v>
      </c>
      <c r="H12" s="9" t="s">
        <v>38</v>
      </c>
      <c r="I12" s="10"/>
      <c r="J12" s="11"/>
    </row>
    <row r="13" spans="1:10" ht="55.5" customHeight="1" x14ac:dyDescent="0.25">
      <c r="A13" s="7" t="s">
        <v>39</v>
      </c>
      <c r="B13" s="8" t="s">
        <v>40</v>
      </c>
      <c r="C13" s="7">
        <v>7</v>
      </c>
      <c r="D13" s="9" t="s">
        <v>41</v>
      </c>
      <c r="E13" s="9" t="s">
        <v>42</v>
      </c>
      <c r="F13" s="9" t="s">
        <v>43</v>
      </c>
      <c r="G13" s="9" t="s">
        <v>44</v>
      </c>
      <c r="H13" s="9" t="s">
        <v>45</v>
      </c>
      <c r="I13" s="10"/>
      <c r="J13" s="11"/>
    </row>
    <row r="14" spans="1:10" ht="55.5" customHeight="1" x14ac:dyDescent="0.25">
      <c r="A14" s="7" t="s">
        <v>46</v>
      </c>
      <c r="B14" s="8" t="s">
        <v>47</v>
      </c>
      <c r="C14" s="7">
        <v>5</v>
      </c>
      <c r="D14" s="9" t="s">
        <v>48</v>
      </c>
      <c r="E14" s="9" t="s">
        <v>49</v>
      </c>
      <c r="F14" s="9" t="s">
        <v>50</v>
      </c>
      <c r="G14" s="9" t="s">
        <v>51</v>
      </c>
      <c r="H14" s="9" t="s">
        <v>52</v>
      </c>
      <c r="I14" s="10"/>
      <c r="J14" s="11"/>
    </row>
    <row r="15" spans="1:10" ht="25.5" x14ac:dyDescent="0.25">
      <c r="A15" s="4"/>
      <c r="B15" s="5" t="s">
        <v>53</v>
      </c>
      <c r="C15" s="4">
        <f>SUM(C16:C19)</f>
        <v>15</v>
      </c>
      <c r="D15" s="4"/>
      <c r="E15" s="4"/>
      <c r="F15" s="4"/>
      <c r="G15" s="4"/>
      <c r="H15" s="4"/>
      <c r="I15" s="6">
        <f>SUM(I16:I19)</f>
        <v>0</v>
      </c>
      <c r="J15" s="4"/>
    </row>
    <row r="16" spans="1:10" ht="55.5" customHeight="1" x14ac:dyDescent="0.25">
      <c r="A16" s="7" t="s">
        <v>54</v>
      </c>
      <c r="B16" s="8" t="s">
        <v>55</v>
      </c>
      <c r="C16" s="7">
        <v>3</v>
      </c>
      <c r="D16" s="9" t="s">
        <v>56</v>
      </c>
      <c r="E16" s="9" t="s">
        <v>57</v>
      </c>
      <c r="F16" s="9" t="s">
        <v>58</v>
      </c>
      <c r="G16" s="9" t="s">
        <v>59</v>
      </c>
      <c r="H16" s="9" t="s">
        <v>60</v>
      </c>
      <c r="I16" s="10"/>
      <c r="J16" s="11"/>
    </row>
    <row r="17" spans="1:10" ht="55.5" customHeight="1" x14ac:dyDescent="0.25">
      <c r="A17" s="7" t="s">
        <v>61</v>
      </c>
      <c r="B17" s="8" t="s">
        <v>62</v>
      </c>
      <c r="C17" s="7">
        <v>4</v>
      </c>
      <c r="D17" s="9" t="s">
        <v>63</v>
      </c>
      <c r="E17" s="9" t="s">
        <v>64</v>
      </c>
      <c r="F17" s="9" t="s">
        <v>65</v>
      </c>
      <c r="G17" s="9" t="s">
        <v>66</v>
      </c>
      <c r="H17" s="9" t="s">
        <v>67</v>
      </c>
      <c r="I17" s="10"/>
      <c r="J17" s="11"/>
    </row>
    <row r="18" spans="1:10" ht="55.5" customHeight="1" x14ac:dyDescent="0.25">
      <c r="A18" s="7" t="s">
        <v>68</v>
      </c>
      <c r="B18" s="8" t="s">
        <v>69</v>
      </c>
      <c r="C18" s="7">
        <v>4</v>
      </c>
      <c r="D18" s="9" t="s">
        <v>70</v>
      </c>
      <c r="E18" s="9" t="s">
        <v>71</v>
      </c>
      <c r="F18" s="9" t="s">
        <v>72</v>
      </c>
      <c r="G18" s="9" t="s">
        <v>73</v>
      </c>
      <c r="H18" s="9" t="s">
        <v>74</v>
      </c>
      <c r="I18" s="10"/>
      <c r="J18" s="11"/>
    </row>
    <row r="19" spans="1:10" ht="43.5" customHeight="1" x14ac:dyDescent="0.25">
      <c r="A19" s="7" t="s">
        <v>75</v>
      </c>
      <c r="B19" s="8" t="s">
        <v>76</v>
      </c>
      <c r="C19" s="7">
        <v>4</v>
      </c>
      <c r="D19" s="9" t="s">
        <v>77</v>
      </c>
      <c r="E19" s="9" t="s">
        <v>78</v>
      </c>
      <c r="F19" s="9" t="s">
        <v>79</v>
      </c>
      <c r="G19" s="9" t="s">
        <v>80</v>
      </c>
      <c r="H19" s="9" t="s">
        <v>81</v>
      </c>
      <c r="I19" s="10"/>
      <c r="J19" s="11"/>
    </row>
    <row r="20" spans="1:10" ht="25.5" x14ac:dyDescent="0.25">
      <c r="A20" s="4"/>
      <c r="B20" s="5" t="s">
        <v>82</v>
      </c>
      <c r="C20" s="4">
        <f>SUM(C21:C22)</f>
        <v>10</v>
      </c>
      <c r="D20" s="4"/>
      <c r="E20" s="4"/>
      <c r="F20" s="4"/>
      <c r="G20" s="4"/>
      <c r="H20" s="4"/>
      <c r="I20" s="6">
        <f>SUM(I21:I22)</f>
        <v>0</v>
      </c>
      <c r="J20" s="4"/>
    </row>
    <row r="21" spans="1:10" ht="55.5" customHeight="1" x14ac:dyDescent="0.25">
      <c r="A21" s="7" t="s">
        <v>83</v>
      </c>
      <c r="B21" s="8" t="s">
        <v>84</v>
      </c>
      <c r="C21" s="7">
        <v>5</v>
      </c>
      <c r="D21" s="9" t="s">
        <v>85</v>
      </c>
      <c r="E21" s="9" t="s">
        <v>86</v>
      </c>
      <c r="F21" s="9" t="s">
        <v>87</v>
      </c>
      <c r="G21" s="9" t="s">
        <v>88</v>
      </c>
      <c r="H21" s="9" t="s">
        <v>89</v>
      </c>
      <c r="I21" s="10"/>
      <c r="J21" s="11"/>
    </row>
    <row r="22" spans="1:10" ht="55.5" customHeight="1" x14ac:dyDescent="0.25">
      <c r="A22" s="7" t="s">
        <v>90</v>
      </c>
      <c r="B22" s="8" t="s">
        <v>91</v>
      </c>
      <c r="C22" s="7">
        <v>5</v>
      </c>
      <c r="D22" s="9" t="s">
        <v>92</v>
      </c>
      <c r="E22" s="9" t="s">
        <v>93</v>
      </c>
      <c r="F22" s="9" t="s">
        <v>94</v>
      </c>
      <c r="G22" s="9" t="s">
        <v>95</v>
      </c>
      <c r="H22" s="9" t="s">
        <v>96</v>
      </c>
      <c r="I22" s="10"/>
      <c r="J22" s="11"/>
    </row>
    <row r="23" spans="1:10" x14ac:dyDescent="0.25">
      <c r="A23" s="4"/>
      <c r="B23" s="5" t="s">
        <v>97</v>
      </c>
      <c r="C23" s="4">
        <v>10</v>
      </c>
      <c r="D23" s="4"/>
      <c r="E23" s="4"/>
      <c r="F23" s="4"/>
      <c r="G23" s="4"/>
      <c r="H23" s="4"/>
      <c r="I23" s="6">
        <f>SUM(I24:I24)</f>
        <v>0</v>
      </c>
      <c r="J23" s="4"/>
    </row>
    <row r="24" spans="1:10" ht="55.5" customHeight="1" x14ac:dyDescent="0.25">
      <c r="A24" s="7" t="s">
        <v>98</v>
      </c>
      <c r="B24" s="8" t="s">
        <v>99</v>
      </c>
      <c r="C24" s="7">
        <v>10</v>
      </c>
      <c r="D24" s="9" t="s">
        <v>100</v>
      </c>
      <c r="E24" s="9" t="s">
        <v>101</v>
      </c>
      <c r="F24" s="9" t="s">
        <v>102</v>
      </c>
      <c r="G24" s="9" t="s">
        <v>103</v>
      </c>
      <c r="H24" s="9" t="s">
        <v>104</v>
      </c>
      <c r="I24" s="10"/>
      <c r="J24" s="11"/>
    </row>
    <row r="25" spans="1:10" x14ac:dyDescent="0.25">
      <c r="A25" s="4"/>
      <c r="B25" s="5" t="s">
        <v>105</v>
      </c>
      <c r="C25" s="4">
        <v>13</v>
      </c>
      <c r="D25" s="4"/>
      <c r="E25" s="4"/>
      <c r="F25" s="4"/>
      <c r="G25" s="4"/>
      <c r="H25" s="4"/>
      <c r="I25" s="6">
        <f>SUM(I26:I28)</f>
        <v>0</v>
      </c>
      <c r="J25" s="4"/>
    </row>
    <row r="26" spans="1:10" ht="55.5" customHeight="1" x14ac:dyDescent="0.25">
      <c r="A26" s="7" t="s">
        <v>106</v>
      </c>
      <c r="B26" s="8" t="s">
        <v>107</v>
      </c>
      <c r="C26" s="7">
        <v>5</v>
      </c>
      <c r="D26" s="9" t="s">
        <v>108</v>
      </c>
      <c r="E26" s="9" t="s">
        <v>109</v>
      </c>
      <c r="F26" s="9" t="s">
        <v>110</v>
      </c>
      <c r="G26" s="9" t="s">
        <v>111</v>
      </c>
      <c r="H26" s="9" t="s">
        <v>112</v>
      </c>
      <c r="I26" s="10"/>
      <c r="J26" s="11"/>
    </row>
    <row r="27" spans="1:10" ht="43.5" customHeight="1" x14ac:dyDescent="0.25">
      <c r="A27" s="7" t="s">
        <v>113</v>
      </c>
      <c r="B27" s="8" t="s">
        <v>114</v>
      </c>
      <c r="C27" s="7">
        <v>5</v>
      </c>
      <c r="D27" s="9" t="s">
        <v>115</v>
      </c>
      <c r="E27" s="9" t="s">
        <v>116</v>
      </c>
      <c r="F27" s="9" t="s">
        <v>117</v>
      </c>
      <c r="G27" s="9" t="s">
        <v>118</v>
      </c>
      <c r="H27" s="9" t="s">
        <v>119</v>
      </c>
      <c r="I27" s="10"/>
      <c r="J27" s="11"/>
    </row>
    <row r="28" spans="1:10" ht="43.5" customHeight="1" x14ac:dyDescent="0.25">
      <c r="A28" s="7" t="s">
        <v>120</v>
      </c>
      <c r="B28" s="8" t="s">
        <v>121</v>
      </c>
      <c r="C28" s="7">
        <v>3</v>
      </c>
      <c r="D28" s="9" t="s">
        <v>122</v>
      </c>
      <c r="E28" s="9" t="s">
        <v>123</v>
      </c>
      <c r="F28" s="9" t="s">
        <v>124</v>
      </c>
      <c r="G28" s="9" t="s">
        <v>125</v>
      </c>
      <c r="H28" s="9" t="s">
        <v>126</v>
      </c>
      <c r="I28" s="10"/>
      <c r="J28" s="11"/>
    </row>
    <row r="29" spans="1:10" x14ac:dyDescent="0.25">
      <c r="A29" s="4"/>
      <c r="B29" s="5" t="s">
        <v>127</v>
      </c>
      <c r="C29" s="4">
        <f>SUM(C30:C33)</f>
        <v>15</v>
      </c>
      <c r="D29" s="4"/>
      <c r="E29" s="4"/>
      <c r="F29" s="4"/>
      <c r="G29" s="4"/>
      <c r="H29" s="4"/>
      <c r="I29" s="6">
        <f>SUM(I30:I33)</f>
        <v>0</v>
      </c>
      <c r="J29" s="4"/>
    </row>
    <row r="30" spans="1:10" ht="43.5" customHeight="1" x14ac:dyDescent="0.25">
      <c r="A30" s="7" t="s">
        <v>128</v>
      </c>
      <c r="B30" s="8" t="s">
        <v>129</v>
      </c>
      <c r="C30" s="7">
        <v>5</v>
      </c>
      <c r="D30" s="9" t="s">
        <v>130</v>
      </c>
      <c r="E30" s="9" t="s">
        <v>131</v>
      </c>
      <c r="F30" s="9" t="s">
        <v>132</v>
      </c>
      <c r="G30" s="9" t="s">
        <v>133</v>
      </c>
      <c r="H30" s="9" t="s">
        <v>134</v>
      </c>
      <c r="I30" s="10"/>
      <c r="J30" s="11"/>
    </row>
    <row r="31" spans="1:10" ht="43.5" customHeight="1" x14ac:dyDescent="0.25">
      <c r="A31" s="7" t="s">
        <v>135</v>
      </c>
      <c r="B31" s="8" t="s">
        <v>136</v>
      </c>
      <c r="C31" s="7">
        <v>4</v>
      </c>
      <c r="D31" s="9" t="s">
        <v>137</v>
      </c>
      <c r="E31" s="9" t="s">
        <v>138</v>
      </c>
      <c r="F31" s="9" t="s">
        <v>139</v>
      </c>
      <c r="G31" s="9" t="s">
        <v>140</v>
      </c>
      <c r="H31" s="9" t="s">
        <v>141</v>
      </c>
      <c r="I31" s="10"/>
      <c r="J31" s="11"/>
    </row>
    <row r="32" spans="1:10" ht="55.5" customHeight="1" x14ac:dyDescent="0.25">
      <c r="A32" s="7" t="s">
        <v>142</v>
      </c>
      <c r="B32" s="8" t="s">
        <v>143</v>
      </c>
      <c r="C32" s="7">
        <v>3</v>
      </c>
      <c r="D32" s="9" t="s">
        <v>144</v>
      </c>
      <c r="E32" s="9" t="s">
        <v>145</v>
      </c>
      <c r="F32" s="9" t="s">
        <v>146</v>
      </c>
      <c r="G32" s="9" t="s">
        <v>147</v>
      </c>
      <c r="H32" s="9" t="s">
        <v>148</v>
      </c>
      <c r="I32" s="10"/>
      <c r="J32" s="11"/>
    </row>
    <row r="33" spans="1:10" ht="43.5" customHeight="1" x14ac:dyDescent="0.25">
      <c r="A33" s="7" t="s">
        <v>149</v>
      </c>
      <c r="B33" s="8" t="s">
        <v>150</v>
      </c>
      <c r="C33" s="7">
        <v>3</v>
      </c>
      <c r="D33" s="9" t="s">
        <v>151</v>
      </c>
      <c r="E33" s="9" t="s">
        <v>152</v>
      </c>
      <c r="F33" s="9" t="s">
        <v>153</v>
      </c>
      <c r="G33" s="9" t="s">
        <v>154</v>
      </c>
      <c r="H33" s="9" t="s">
        <v>155</v>
      </c>
      <c r="I33" s="10"/>
      <c r="J33" s="11"/>
    </row>
    <row r="34" spans="1:10" x14ac:dyDescent="0.25">
      <c r="A34" s="3"/>
      <c r="B34" s="12" t="s">
        <v>156</v>
      </c>
      <c r="C34" s="3">
        <f>C8+C11+C15+C20+C23+C25+C29</f>
        <v>100</v>
      </c>
      <c r="D34" s="3"/>
      <c r="E34" s="3"/>
      <c r="F34" s="3"/>
      <c r="G34" s="3"/>
      <c r="H34" s="3"/>
      <c r="I34" s="13">
        <f>I8+I11+I15+I20+I23+I25+I29</f>
        <v>0</v>
      </c>
      <c r="J34" s="3"/>
    </row>
    <row r="36" spans="1:10" ht="15.75" x14ac:dyDescent="0.25">
      <c r="B36" s="14" t="s">
        <v>157</v>
      </c>
    </row>
    <row r="37" spans="1:10" ht="27.75" customHeight="1" x14ac:dyDescent="0.25">
      <c r="B37" s="8" t="s">
        <v>158</v>
      </c>
      <c r="C37" s="23" t="str">
        <f>IF(COUNT(I12:I13)=0,"",(I12+I13)/(C12+C13))</f>
        <v/>
      </c>
      <c r="D37" s="23"/>
      <c r="E37" s="23"/>
    </row>
    <row r="38" spans="1:10" ht="27.75" customHeight="1" x14ac:dyDescent="0.25">
      <c r="B38" s="8" t="s">
        <v>159</v>
      </c>
      <c r="C38" s="20" t="str">
        <f>IF(C37="","",IF(C37&lt;0.4,"N","Y"))</f>
        <v/>
      </c>
      <c r="D38" s="20"/>
      <c r="E38" s="20"/>
    </row>
    <row r="39" spans="1:10" ht="27.75" customHeight="1" x14ac:dyDescent="0.25">
      <c r="B39" s="8" t="s">
        <v>160</v>
      </c>
      <c r="C39" s="21">
        <f>I34</f>
        <v>0</v>
      </c>
      <c r="D39" s="21"/>
      <c r="E39" s="21"/>
    </row>
    <row r="40" spans="1:10" ht="27.75" customHeight="1" x14ac:dyDescent="0.25">
      <c r="B40" s="8" t="s">
        <v>161</v>
      </c>
      <c r="C40" s="20" t="str">
        <f>IF(C38="","",IF(C38="N","Below avg (gate)",IF(C39&gt;85,"Excellent",IF(C39&gt;=65,"Good",IF(C39&gt;=40,"Average","Below avg")))))</f>
        <v/>
      </c>
      <c r="D40" s="20"/>
      <c r="E40" s="20"/>
    </row>
  </sheetData>
  <mergeCells count="8">
    <mergeCell ref="C38:E38"/>
    <mergeCell ref="C39:E39"/>
    <mergeCell ref="C40:E40"/>
    <mergeCell ref="C3:E3"/>
    <mergeCell ref="G3:J5"/>
    <mergeCell ref="C4:E4"/>
    <mergeCell ref="C5:E5"/>
    <mergeCell ref="C37:E37"/>
  </mergeCells>
  <conditionalFormatting sqref="C38">
    <cfRule type="cellIs" dxfId="0" priority="2" operator="equal">
      <formula>"N"</formula>
    </cfRule>
  </conditionalFormatting>
  <dataValidations count="1">
    <dataValidation type="decimal" showErrorMessage="1" errorTitle="Invalid score" error="Score must be between 0 and Max." sqref="I30:I33 I26:I28 I24 I21:I22 I16:I19 I12:I14 I9:I10" xr:uid="{00000000-0002-0000-0000-000000000000}">
      <formula1>0</formula1>
      <formula2>C9</formula2>
    </dataValidation>
  </dataValidations>
  <pageMargins left="0.75" right="0.75" top="1" bottom="1" header="0.511811023622047" footer="0.511811023622047"/>
  <pageSetup paperSize="8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selection activeCell="A11" sqref="A11:C11"/>
    </sheetView>
  </sheetViews>
  <sheetFormatPr defaultColWidth="8.7109375" defaultRowHeight="15" x14ac:dyDescent="0.25"/>
  <cols>
    <col min="1" max="2" width="18" customWidth="1"/>
    <col min="3" max="3" width="80" customWidth="1"/>
  </cols>
  <sheetData>
    <row r="1" spans="1:3" ht="18" x14ac:dyDescent="0.25">
      <c r="A1" s="1" t="s">
        <v>162</v>
      </c>
    </row>
    <row r="3" spans="1:3" x14ac:dyDescent="0.25">
      <c r="A3" s="3" t="s">
        <v>14</v>
      </c>
      <c r="B3" s="3" t="s">
        <v>163</v>
      </c>
      <c r="C3" s="3" t="s">
        <v>164</v>
      </c>
    </row>
    <row r="4" spans="1:3" x14ac:dyDescent="0.25">
      <c r="A4" s="7" t="s">
        <v>165</v>
      </c>
      <c r="B4" s="7" t="s">
        <v>166</v>
      </c>
      <c r="C4" s="15" t="s">
        <v>167</v>
      </c>
    </row>
    <row r="5" spans="1:3" x14ac:dyDescent="0.25">
      <c r="A5" s="7" t="s">
        <v>168</v>
      </c>
      <c r="B5" s="7" t="s">
        <v>169</v>
      </c>
      <c r="C5" s="15" t="s">
        <v>170</v>
      </c>
    </row>
    <row r="6" spans="1:3" x14ac:dyDescent="0.25">
      <c r="A6" s="7" t="s">
        <v>171</v>
      </c>
      <c r="B6" s="7" t="s">
        <v>172</v>
      </c>
      <c r="C6" s="15" t="s">
        <v>173</v>
      </c>
    </row>
    <row r="7" spans="1:3" x14ac:dyDescent="0.25">
      <c r="A7" s="7" t="s">
        <v>174</v>
      </c>
      <c r="B7" s="7" t="s">
        <v>175</v>
      </c>
      <c r="C7" s="15" t="s">
        <v>176</v>
      </c>
    </row>
    <row r="9" spans="1:3" ht="15.75" x14ac:dyDescent="0.25">
      <c r="A9" s="14" t="s">
        <v>177</v>
      </c>
    </row>
    <row r="10" spans="1:3" ht="30" customHeight="1" x14ac:dyDescent="0.25">
      <c r="A10" s="18" t="s">
        <v>178</v>
      </c>
      <c r="B10" s="18"/>
      <c r="C10" s="18"/>
    </row>
    <row r="11" spans="1:3" ht="30" customHeight="1" x14ac:dyDescent="0.25">
      <c r="A11" s="18" t="s">
        <v>179</v>
      </c>
      <c r="B11" s="18"/>
      <c r="C11" s="18"/>
    </row>
    <row r="12" spans="1:3" ht="30" customHeight="1" x14ac:dyDescent="0.25">
      <c r="A12" s="18" t="s">
        <v>180</v>
      </c>
      <c r="B12" s="18"/>
      <c r="C12" s="18"/>
    </row>
    <row r="13" spans="1:3" ht="30" customHeight="1" x14ac:dyDescent="0.25">
      <c r="A13" s="18" t="s">
        <v>181</v>
      </c>
      <c r="B13" s="18"/>
      <c r="C13" s="18"/>
    </row>
    <row r="14" spans="1:3" ht="30" customHeight="1" x14ac:dyDescent="0.25">
      <c r="A14" s="18" t="s">
        <v>182</v>
      </c>
      <c r="B14" s="18"/>
      <c r="C14" s="18"/>
    </row>
    <row r="15" spans="1:3" ht="30" customHeight="1" x14ac:dyDescent="0.25">
      <c r="A15" s="18" t="s">
        <v>183</v>
      </c>
      <c r="B15" s="18"/>
      <c r="C15" s="18"/>
    </row>
    <row r="16" spans="1:3" ht="30" customHeight="1" x14ac:dyDescent="0.25">
      <c r="A16" s="19" t="s">
        <v>184</v>
      </c>
      <c r="B16" s="19"/>
      <c r="C16" s="19"/>
    </row>
  </sheetData>
  <mergeCells count="7">
    <mergeCell ref="A15:C15"/>
    <mergeCell ref="A16:C16"/>
    <mergeCell ref="A10:C10"/>
    <mergeCell ref="A11:C11"/>
    <mergeCell ref="A12:C12"/>
    <mergeCell ref="A13:C13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D547-9975-4A6B-B422-9E77C53D4FEE}">
  <dimension ref="A1:C6"/>
  <sheetViews>
    <sheetView workbookViewId="0">
      <selection activeCell="E15" sqref="E15"/>
    </sheetView>
  </sheetViews>
  <sheetFormatPr defaultRowHeight="15" x14ac:dyDescent="0.25"/>
  <cols>
    <col min="2" max="2" width="84.85546875" bestFit="1" customWidth="1"/>
    <col min="3" max="3" width="29.5703125" customWidth="1"/>
  </cols>
  <sheetData>
    <row r="1" spans="1:3" x14ac:dyDescent="0.25">
      <c r="A1" s="17" t="s">
        <v>5</v>
      </c>
      <c r="B1" s="17" t="s">
        <v>185</v>
      </c>
      <c r="C1" s="17" t="s">
        <v>186</v>
      </c>
    </row>
    <row r="2" spans="1:3" x14ac:dyDescent="0.25">
      <c r="A2" s="16">
        <v>1</v>
      </c>
      <c r="B2" s="16" t="s">
        <v>187</v>
      </c>
      <c r="C2" s="16" t="s">
        <v>188</v>
      </c>
    </row>
    <row r="3" spans="1:3" x14ac:dyDescent="0.25">
      <c r="A3" s="16">
        <v>2</v>
      </c>
      <c r="B3" s="16" t="s">
        <v>189</v>
      </c>
      <c r="C3" s="16" t="s">
        <v>188</v>
      </c>
    </row>
    <row r="4" spans="1:3" x14ac:dyDescent="0.25">
      <c r="A4" s="16">
        <v>3</v>
      </c>
      <c r="B4" s="16" t="s">
        <v>190</v>
      </c>
      <c r="C4" s="16" t="s">
        <v>188</v>
      </c>
    </row>
    <row r="5" spans="1:3" x14ac:dyDescent="0.25">
      <c r="A5" s="16">
        <v>4</v>
      </c>
      <c r="B5" s="16" t="s">
        <v>191</v>
      </c>
      <c r="C5" s="16" t="s">
        <v>192</v>
      </c>
    </row>
    <row r="6" spans="1:3" x14ac:dyDescent="0.25">
      <c r="A6" s="16">
        <v>5</v>
      </c>
      <c r="B6" s="16" t="s">
        <v>193</v>
      </c>
      <c r="C6" s="16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Jury Scorecard</vt:lpstr>
      <vt:lpstr>Scoring Guide</vt:lpstr>
      <vt:lpstr>Submission Checklist</vt:lpstr>
      <vt:lpstr>'Jury Scorecard'!Print_Titles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Raghuram Raichooti</cp:lastModifiedBy>
  <cp:revision>0</cp:revision>
  <dcterms:created xsi:type="dcterms:W3CDTF">2026-10-29T10:07:38Z</dcterms:created>
  <dcterms:modified xsi:type="dcterms:W3CDTF">2026-10-29T20:41:23Z</dcterms:modified>
  <dc:language>en-US</dc:language>
</cp:coreProperties>
</file>