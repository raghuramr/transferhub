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singh1\Downloads\"/>
    </mc:Choice>
  </mc:AlternateContent>
  <xr:revisionPtr revIDLastSave="0" documentId="8_{E71DEA71-AB23-4842-92E4-CB21991762D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EADME" sheetId="1" r:id="rId1"/>
    <sheet name="Transfer Lookup" sheetId="2" r:id="rId2"/>
    <sheet name="Programs" sheetId="3" r:id="rId3"/>
    <sheet name="BU Courses" sheetId="4" r:id="rId4"/>
    <sheet name="Northeastern Courses" sheetId="5" r:id="rId5"/>
    <sheet name="NYU Courses" sheetId="6" r:id="rId6"/>
    <sheet name="Course Match" sheetId="7" r:id="rId7"/>
    <sheet name="Match Summary" sheetId="8" r:id="rId8"/>
  </sheets>
  <definedNames>
    <definedName name="_xlnm._FilterDatabase" localSheetId="3" hidden="1">'BU Courses'!$A$1:$H$42</definedName>
    <definedName name="_xlnm._FilterDatabase" localSheetId="6" hidden="1">'Course Match'!$A$1:$M$42</definedName>
    <definedName name="_xlnm._FilterDatabase" localSheetId="4" hidden="1">'Northeastern Courses'!$A$1:$H$39</definedName>
    <definedName name="_xlnm._FilterDatabase" localSheetId="5" hidden="1">'NYU Courses'!$A$1:$H$39</definedName>
    <definedName name="_xlnm._FilterDatabase" localSheetId="2" hidden="1">Programs!$A$1:$R$6</definedName>
    <definedName name="NU_Codes">'Northeastern Courses'!$A$2:$A$39</definedName>
    <definedName name="NYU_Codes">'NYU Courses'!$A$2:$A$39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2" i="7" l="1"/>
  <c r="J42" i="7"/>
  <c r="G42" i="7"/>
  <c r="F42" i="7"/>
  <c r="D42" i="7"/>
  <c r="C42" i="7"/>
  <c r="B42" i="7"/>
  <c r="K41" i="7"/>
  <c r="J41" i="7"/>
  <c r="G41" i="7"/>
  <c r="F41" i="7"/>
  <c r="D41" i="7"/>
  <c r="C41" i="7"/>
  <c r="B41" i="7"/>
  <c r="K40" i="7"/>
  <c r="J40" i="7"/>
  <c r="G40" i="7"/>
  <c r="F40" i="7"/>
  <c r="D40" i="7"/>
  <c r="C40" i="7"/>
  <c r="B40" i="7"/>
  <c r="K39" i="7"/>
  <c r="J39" i="7"/>
  <c r="G39" i="7"/>
  <c r="F39" i="7"/>
  <c r="D39" i="7"/>
  <c r="C39" i="7"/>
  <c r="B39" i="7"/>
  <c r="K38" i="7"/>
  <c r="J38" i="7"/>
  <c r="G38" i="7"/>
  <c r="F38" i="7"/>
  <c r="D38" i="7"/>
  <c r="C38" i="7"/>
  <c r="B38" i="7"/>
  <c r="K37" i="7"/>
  <c r="J37" i="7"/>
  <c r="G37" i="7"/>
  <c r="F37" i="7"/>
  <c r="D37" i="7"/>
  <c r="C37" i="7"/>
  <c r="B37" i="7"/>
  <c r="K36" i="7"/>
  <c r="J36" i="7"/>
  <c r="G36" i="7"/>
  <c r="F36" i="7"/>
  <c r="D36" i="7"/>
  <c r="C36" i="7"/>
  <c r="B36" i="7"/>
  <c r="K35" i="7"/>
  <c r="J35" i="7"/>
  <c r="G35" i="7"/>
  <c r="F35" i="7"/>
  <c r="D35" i="7"/>
  <c r="C35" i="7"/>
  <c r="B35" i="7"/>
  <c r="K34" i="7"/>
  <c r="J34" i="7"/>
  <c r="G34" i="7"/>
  <c r="F34" i="7"/>
  <c r="D34" i="7"/>
  <c r="C34" i="7"/>
  <c r="B34" i="7"/>
  <c r="K33" i="7"/>
  <c r="J33" i="7"/>
  <c r="G33" i="7"/>
  <c r="F33" i="7"/>
  <c r="D33" i="7"/>
  <c r="C33" i="7"/>
  <c r="B33" i="7"/>
  <c r="K32" i="7"/>
  <c r="J32" i="7"/>
  <c r="G32" i="7"/>
  <c r="F32" i="7"/>
  <c r="D32" i="7"/>
  <c r="C32" i="7"/>
  <c r="B32" i="7"/>
  <c r="K31" i="7"/>
  <c r="J31" i="7"/>
  <c r="G31" i="7"/>
  <c r="F31" i="7"/>
  <c r="D31" i="7"/>
  <c r="C31" i="7"/>
  <c r="B31" i="7"/>
  <c r="K30" i="7"/>
  <c r="J30" i="7"/>
  <c r="G30" i="7"/>
  <c r="F30" i="7"/>
  <c r="D30" i="7"/>
  <c r="C30" i="7"/>
  <c r="B30" i="7"/>
  <c r="K29" i="7"/>
  <c r="J29" i="7"/>
  <c r="G29" i="7"/>
  <c r="F29" i="7"/>
  <c r="D29" i="7"/>
  <c r="C29" i="7"/>
  <c r="B29" i="7"/>
  <c r="K28" i="7"/>
  <c r="J28" i="7"/>
  <c r="G28" i="7"/>
  <c r="F28" i="7"/>
  <c r="D28" i="7"/>
  <c r="C28" i="7"/>
  <c r="B28" i="7"/>
  <c r="K27" i="7"/>
  <c r="J27" i="7"/>
  <c r="G27" i="7"/>
  <c r="F27" i="7"/>
  <c r="D27" i="7"/>
  <c r="C27" i="7"/>
  <c r="B27" i="7"/>
  <c r="K26" i="7"/>
  <c r="J26" i="7"/>
  <c r="G26" i="7"/>
  <c r="F26" i="7"/>
  <c r="D26" i="7"/>
  <c r="C26" i="7"/>
  <c r="B26" i="7"/>
  <c r="K25" i="7"/>
  <c r="J25" i="7"/>
  <c r="G25" i="7"/>
  <c r="F25" i="7"/>
  <c r="D25" i="7"/>
  <c r="C25" i="7"/>
  <c r="B25" i="7"/>
  <c r="K24" i="7"/>
  <c r="J24" i="7"/>
  <c r="G24" i="7"/>
  <c r="F24" i="7"/>
  <c r="D24" i="7"/>
  <c r="C24" i="7"/>
  <c r="B24" i="7"/>
  <c r="K23" i="7"/>
  <c r="J23" i="7"/>
  <c r="G23" i="7"/>
  <c r="F23" i="7"/>
  <c r="D23" i="7"/>
  <c r="C23" i="7"/>
  <c r="B23" i="7"/>
  <c r="K22" i="7"/>
  <c r="J22" i="7"/>
  <c r="G22" i="7"/>
  <c r="F22" i="7"/>
  <c r="D22" i="7"/>
  <c r="C22" i="7"/>
  <c r="B22" i="7"/>
  <c r="K21" i="7"/>
  <c r="J21" i="7"/>
  <c r="G21" i="7"/>
  <c r="F21" i="7"/>
  <c r="D21" i="7"/>
  <c r="C21" i="7"/>
  <c r="B21" i="7"/>
  <c r="K20" i="7"/>
  <c r="J20" i="7"/>
  <c r="G20" i="7"/>
  <c r="F20" i="7"/>
  <c r="D20" i="7"/>
  <c r="C20" i="7"/>
  <c r="B20" i="7"/>
  <c r="K19" i="7"/>
  <c r="J19" i="7"/>
  <c r="G19" i="7"/>
  <c r="F19" i="7"/>
  <c r="D19" i="7"/>
  <c r="C19" i="7"/>
  <c r="B19" i="7"/>
  <c r="K18" i="7"/>
  <c r="J18" i="7"/>
  <c r="G18" i="7"/>
  <c r="F18" i="7"/>
  <c r="D18" i="7"/>
  <c r="C18" i="7"/>
  <c r="B18" i="7"/>
  <c r="K17" i="7"/>
  <c r="J17" i="7"/>
  <c r="G17" i="7"/>
  <c r="F17" i="7"/>
  <c r="D17" i="7"/>
  <c r="C17" i="7"/>
  <c r="B17" i="7"/>
  <c r="K16" i="7"/>
  <c r="J16" i="7"/>
  <c r="G16" i="7"/>
  <c r="F16" i="7"/>
  <c r="D16" i="7"/>
  <c r="C16" i="7"/>
  <c r="B16" i="7"/>
  <c r="K15" i="7"/>
  <c r="J15" i="7"/>
  <c r="G15" i="7"/>
  <c r="F15" i="7"/>
  <c r="D15" i="7"/>
  <c r="C15" i="7"/>
  <c r="B15" i="7"/>
  <c r="K14" i="7"/>
  <c r="J14" i="7"/>
  <c r="G14" i="7"/>
  <c r="F14" i="7"/>
  <c r="D14" i="7"/>
  <c r="C14" i="7"/>
  <c r="B14" i="7"/>
  <c r="K13" i="7"/>
  <c r="J13" i="7"/>
  <c r="G13" i="7"/>
  <c r="F13" i="7"/>
  <c r="D13" i="7"/>
  <c r="C13" i="7"/>
  <c r="B13" i="7"/>
  <c r="K12" i="7"/>
  <c r="J12" i="7"/>
  <c r="G12" i="7"/>
  <c r="F12" i="7"/>
  <c r="D12" i="7"/>
  <c r="C12" i="7"/>
  <c r="B12" i="7"/>
  <c r="K11" i="7"/>
  <c r="J11" i="7"/>
  <c r="G11" i="7"/>
  <c r="F11" i="7"/>
  <c r="D11" i="7"/>
  <c r="C11" i="7"/>
  <c r="B11" i="7"/>
  <c r="K10" i="7"/>
  <c r="J10" i="7"/>
  <c r="G10" i="7"/>
  <c r="F10" i="7"/>
  <c r="D10" i="7"/>
  <c r="C10" i="7"/>
  <c r="B10" i="7"/>
  <c r="K9" i="7"/>
  <c r="J9" i="7"/>
  <c r="G9" i="7"/>
  <c r="F9" i="7"/>
  <c r="D9" i="7"/>
  <c r="C9" i="7"/>
  <c r="B9" i="7"/>
  <c r="K8" i="7"/>
  <c r="J8" i="7"/>
  <c r="G8" i="7"/>
  <c r="F8" i="7"/>
  <c r="D8" i="7"/>
  <c r="C8" i="7"/>
  <c r="B8" i="7"/>
  <c r="K7" i="7"/>
  <c r="J7" i="7"/>
  <c r="G7" i="7"/>
  <c r="F7" i="7"/>
  <c r="D7" i="7"/>
  <c r="C7" i="7"/>
  <c r="B7" i="7"/>
  <c r="K6" i="7"/>
  <c r="J6" i="7"/>
  <c r="G6" i="7"/>
  <c r="F6" i="7"/>
  <c r="D6" i="7"/>
  <c r="C6" i="7"/>
  <c r="B6" i="7"/>
  <c r="K5" i="7"/>
  <c r="J5" i="7"/>
  <c r="G5" i="7"/>
  <c r="F5" i="7"/>
  <c r="D5" i="7"/>
  <c r="C5" i="7"/>
  <c r="B5" i="7"/>
  <c r="K4" i="7"/>
  <c r="J4" i="7"/>
  <c r="G4" i="7"/>
  <c r="F4" i="7"/>
  <c r="D4" i="7"/>
  <c r="C4" i="7"/>
  <c r="B4" i="7"/>
  <c r="K3" i="7"/>
  <c r="J3" i="7"/>
  <c r="G3" i="7"/>
  <c r="F3" i="7"/>
  <c r="D3" i="7"/>
  <c r="C3" i="7"/>
  <c r="B3" i="7"/>
  <c r="K2" i="7"/>
  <c r="J2" i="7"/>
  <c r="G2" i="7"/>
  <c r="F2" i="7"/>
  <c r="D2" i="7"/>
  <c r="C2" i="7"/>
  <c r="B2" i="7"/>
  <c r="B12" i="2"/>
  <c r="B11" i="2"/>
  <c r="B9" i="2"/>
  <c r="B10" i="2" s="1"/>
  <c r="B8" i="2"/>
  <c r="E17" i="8" l="1"/>
  <c r="D17" i="8"/>
  <c r="E16" i="8"/>
  <c r="D10" i="8"/>
  <c r="E8" i="8"/>
  <c r="F7" i="8"/>
  <c r="E6" i="8"/>
  <c r="C9" i="8"/>
  <c r="B9" i="8"/>
  <c r="G9" i="8" s="1"/>
  <c r="F8" i="8"/>
  <c r="F6" i="8"/>
  <c r="D19" i="8"/>
  <c r="E18" i="8"/>
  <c r="C18" i="8"/>
  <c r="B18" i="8"/>
  <c r="G18" i="8" s="1"/>
  <c r="C17" i="8"/>
  <c r="F16" i="8"/>
  <c r="C16" i="8"/>
  <c r="C21" i="8" s="1"/>
  <c r="E10" i="8"/>
  <c r="E9" i="8"/>
  <c r="D8" i="8"/>
  <c r="B8" i="8"/>
  <c r="D7" i="8"/>
  <c r="C6" i="8"/>
  <c r="F20" i="8"/>
  <c r="D18" i="8"/>
  <c r="C10" i="8"/>
  <c r="C7" i="8"/>
  <c r="D20" i="8"/>
  <c r="E20" i="8"/>
  <c r="F18" i="8"/>
  <c r="B10" i="8"/>
  <c r="G10" i="8" s="1"/>
  <c r="B7" i="8"/>
  <c r="G7" i="8" s="1"/>
  <c r="C20" i="8"/>
  <c r="B20" i="8"/>
  <c r="G20" i="8" s="1"/>
  <c r="C19" i="8"/>
  <c r="F17" i="8"/>
  <c r="B17" i="8"/>
  <c r="G17" i="8" s="1"/>
  <c r="D16" i="8"/>
  <c r="B16" i="8"/>
  <c r="F10" i="8"/>
  <c r="D9" i="8"/>
  <c r="C8" i="8"/>
  <c r="E7" i="8"/>
  <c r="D6" i="8"/>
  <c r="B6" i="8"/>
  <c r="F19" i="8"/>
  <c r="E19" i="8"/>
  <c r="B19" i="8"/>
  <c r="F9" i="8"/>
  <c r="G16" i="8" l="1"/>
  <c r="B21" i="8"/>
  <c r="G21" i="8" s="1"/>
  <c r="B11" i="8"/>
  <c r="G11" i="8" s="1"/>
  <c r="G6" i="8"/>
  <c r="E21" i="8"/>
  <c r="E11" i="8"/>
  <c r="F11" i="8"/>
  <c r="F21" i="8"/>
  <c r="D11" i="8"/>
  <c r="C11" i="8"/>
  <c r="G8" i="8"/>
  <c r="D21" i="8"/>
  <c r="G19" i="8"/>
</calcChain>
</file>

<file path=xl/sharedStrings.xml><?xml version="1.0" encoding="utf-8"?>
<sst xmlns="http://schemas.openxmlformats.org/spreadsheetml/2006/main" count="1206" uniqueCount="474">
  <si>
    <t>Transfer Program &amp; Course Match Workbook</t>
  </si>
  <si>
    <t>Purpose</t>
  </si>
  <si>
    <t>Preliminary program and course matching for transfer students moving between Boston University (BU) and two comparable US universities. Built for a hackathon prototype.</t>
  </si>
  <si>
    <t>Peer universities</t>
  </si>
  <si>
    <t>Northeastern University (Boston; private research university; same city and similar size) and New York University (private urban research university; similar 4-credit, arts &amp; sciences course structure).</t>
  </si>
  <si>
    <t>Scope</t>
  </si>
  <si>
    <t>Five common transfer majors: Computer Science, Economics, Psychology, Biology (with supporting chemistry) and Mathematics. Core and commonly required courses only, not full catalogs.</t>
  </si>
  <si>
    <t>Important</t>
  </si>
  <si>
    <t>Matches are a starting point, not official equivalencies. At BU, final decisions are made by the Credit Evaluation Department and academic department evaluators, often after a syllabus review.</t>
  </si>
  <si>
    <t>Sheets</t>
  </si>
  <si>
    <t xml:space="preserve">  Programs</t>
  </si>
  <si>
    <t>Program-level match across the three universities, with key transfer rules.</t>
  </si>
  <si>
    <t xml:space="preserve">  BU Courses / Northeastern Courses / NYU Courses</t>
  </si>
  <si>
    <t>Course catalogs for each university (code, title, program, requirement type, credits, verification status, source).</t>
  </si>
  <si>
    <t xml:space="preserve">  Course Match</t>
  </si>
  <si>
    <t>Each BU course mapped to its closest Northeastern and NYU course, with a match level. Titles and credits are pulled by formula from the course sheets.</t>
  </si>
  <si>
    <t xml:space="preserve">  Match Summary</t>
  </si>
  <si>
    <t>Counts of match levels by program and university (formulas).</t>
  </si>
  <si>
    <t xml:space="preserve">  Transfer Lookup</t>
  </si>
  <si>
    <t>Pick a school and a course code; the sheet returns the likely BU equivalent.</t>
  </si>
  <si>
    <t>Match levels</t>
  </si>
  <si>
    <t xml:space="preserve">  Likely equivalent</t>
  </si>
  <si>
    <t>Content and level line up closely.</t>
  </si>
  <si>
    <t xml:space="preserve">  Partial - syllabus review</t>
  </si>
  <si>
    <t>Overlapping content; a syllabus review is needed, or the course may map to a different or combined BU course.</t>
  </si>
  <si>
    <t xml:space="preserve">  No equivalent found</t>
  </si>
  <si>
    <t>No comparable course found in the peer's core requirements (an elective may still exist).</t>
  </si>
  <si>
    <t xml:space="preserve">  Must be taken at BU</t>
  </si>
  <si>
    <t>BU requires this course in residence, so transfer credit will not satisfy it.</t>
  </si>
  <si>
    <t>Verified column</t>
  </si>
  <si>
    <t>Yes = code and title confirmed against the university's published catalog or bulletin. Check = code confirmed but title or credits from memory; confirm before relying on it.</t>
  </si>
  <si>
    <t>Credits</t>
  </si>
  <si>
    <t>All three use semester credit hours. Northeastern often bundles a 1-credit lab with a 4-credit course (shown as 5).</t>
  </si>
  <si>
    <t>Source date</t>
  </si>
  <si>
    <t>Catalogs and bulletins consulted October 2026 (Northeastern 2026–2027 catalog; current BU Bulletin and NYU Bulletins). Requirements change; re-check each source link.</t>
  </si>
  <si>
    <t>Transfer Course Lookup</t>
  </si>
  <si>
    <t>Fill in the two yellow cells. Results update automatically.</t>
  </si>
  <si>
    <t>Coming from</t>
  </si>
  <si>
    <t>Northeastern</t>
  </si>
  <si>
    <t>Course code</t>
  </si>
  <si>
    <t>CS 3000</t>
  </si>
  <si>
    <t>Result</t>
  </si>
  <si>
    <t>Course title</t>
  </si>
  <si>
    <t>Likely BU equivalent</t>
  </si>
  <si>
    <t>BU course title</t>
  </si>
  <si>
    <t>Match level</t>
  </si>
  <si>
    <t>Notes</t>
  </si>
  <si>
    <t>Where a peer course maps to more than one BU course (e.g. Northeastern CHEM 1161), the first match is shown; see the Notes and the Course Match sheet.</t>
  </si>
  <si>
    <t>Program area</t>
  </si>
  <si>
    <t>BU program</t>
  </si>
  <si>
    <t>BU school</t>
  </si>
  <si>
    <t>BU degree</t>
  </si>
  <si>
    <t>BU key rules</t>
  </si>
  <si>
    <t>BU source</t>
  </si>
  <si>
    <t>Northeastern program</t>
  </si>
  <si>
    <t>NU college</t>
  </si>
  <si>
    <t>NU degree</t>
  </si>
  <si>
    <t>NU key requirements</t>
  </si>
  <si>
    <t>NU source</t>
  </si>
  <si>
    <t>NYU program</t>
  </si>
  <si>
    <t>NYU school</t>
  </si>
  <si>
    <t>NYU degree</t>
  </si>
  <si>
    <t>NYU key requirements</t>
  </si>
  <si>
    <t>NYU source</t>
  </si>
  <si>
    <t>Program match</t>
  </si>
  <si>
    <t>Computer Science</t>
  </si>
  <si>
    <t>BA in Computer Science</t>
  </si>
  <si>
    <t>College of Arts &amp; Sciences</t>
  </si>
  <si>
    <t>BA</t>
  </si>
  <si>
    <t>15 courses; Group C (CS 320, 332, 350) cannot be transferred</t>
  </si>
  <si>
    <t>https://www.bu.edu/academics/cas/programs/computer-science/ba/</t>
  </si>
  <si>
    <t>Computer Science, BSCS (Boston)</t>
  </si>
  <si>
    <t>Khoury College of Computer Sciences</t>
  </si>
  <si>
    <t>BS</t>
  </si>
  <si>
    <t>72 SH in major; co-op based; BACS also offered</t>
  </si>
  <si>
    <t>https://catalog.northeastern.edu/undergraduate/computer-information-science/computer-science/bscs/</t>
  </si>
  <si>
    <t>Computer Science (BA)</t>
  </si>
  <si>
    <t>College of Arts &amp; Science</t>
  </si>
  <si>
    <t>12 courses</t>
  </si>
  <si>
    <t>https://bulletins.nyu.edu/undergraduate/arts-science/programs/computer-science-ba/computer-science-ba.pdf</t>
  </si>
  <si>
    <t>Strong</t>
  </si>
  <si>
    <t>NU uses 4–5 SH courses with labs and a new CS 2000/2100/3100 intro sequence.</t>
  </si>
  <si>
    <t>Economics</t>
  </si>
  <si>
    <t>BA in Economics</t>
  </si>
  <si>
    <t>12 courses; max 4 courses at 200+ level transferred after matriculation</t>
  </si>
  <si>
    <t>https://www.bu.edu/academics/cas/programs/economics/ba</t>
  </si>
  <si>
    <t>Economics, BS (combined majors shown)</t>
  </si>
  <si>
    <t>College of Social Sciences and Humanities</t>
  </si>
  <si>
    <t>Core: ECON 1115, 1116, 2315, 2316, 2350, 2560</t>
  </si>
  <si>
    <t>https://catalog.northeastern.edu/undergraduate/social-sciences-humanities/economics/economics-mathematics-bs/</t>
  </si>
  <si>
    <t>Economics (BA)</t>
  </si>
  <si>
    <t>Policy and Theory concentrations</t>
  </si>
  <si>
    <t>https://bulletins.nyu.edu/undergraduate/arts-science/programs/economics-ba/economics-ba.pdf</t>
  </si>
  <si>
    <t>All three share principles, intermediate theory, statistics and econometrics.</t>
  </si>
  <si>
    <t>Psychology</t>
  </si>
  <si>
    <t>BA in Psychology</t>
  </si>
  <si>
    <t>PS 101 + 9 principal courses; PS 231 required</t>
  </si>
  <si>
    <t>https://www.bu.edu/academics/cas/programs/psychology/ba/</t>
  </si>
  <si>
    <t>Psychology, BS</t>
  </si>
  <si>
    <t>College of Science</t>
  </si>
  <si>
    <t>PSYC 1101, PSYC 2320 and core content courses</t>
  </si>
  <si>
    <t>https://catalog.northeastern.edu/undergraduate/science/psychology/psychology-bs</t>
  </si>
  <si>
    <t>Psychology (BA)</t>
  </si>
  <si>
    <t>Intro, statistics and core content courses</t>
  </si>
  <si>
    <t>https://bulletins.nyu.edu/courses/psych_ua/psych_ua.pdf</t>
  </si>
  <si>
    <t>Moderate</t>
  </si>
  <si>
    <t>Statistics and experimental design are organized differently at each school.</t>
  </si>
  <si>
    <t>Biology</t>
  </si>
  <si>
    <t>BA in Biology</t>
  </si>
  <si>
    <t>At least 5 BI courses beyond BI 107/108 must be taken at BU</t>
  </si>
  <si>
    <t>https://www.bu.edu/academics/cas/departments/biology/</t>
  </si>
  <si>
    <t>Biology, BS</t>
  </si>
  <si>
    <t>BIOL 1107, 2299, 2301, 2309, 3611 + chemistry</t>
  </si>
  <si>
    <t>https://catalog.northeastern.edu/undergraduate/science/biology/biology-bs/</t>
  </si>
  <si>
    <t>Biology major (standard track)</t>
  </si>
  <si>
    <t>See bulletin</t>
  </si>
  <si>
    <t>BIOL-UA 11, 12, 21, 22 required</t>
  </si>
  <si>
    <t>https://courses.bio.nyu.edu/requirement/major-standard-track/required</t>
  </si>
  <si>
    <t>NU teaches general chemistry as one accelerated course.</t>
  </si>
  <si>
    <t>Mathematics</t>
  </si>
  <si>
    <t>BA in Mathematics</t>
  </si>
  <si>
    <t>Calculus sequence MA 123/124/225 plus MA 242</t>
  </si>
  <si>
    <t>https://www.bu.edu/math/undergraduate/faqs-and-forms/</t>
  </si>
  <si>
    <t>Mathematics (see combined majors)</t>
  </si>
  <si>
    <t>MATH 1341, 1342, 2321, 2341, 3081</t>
  </si>
  <si>
    <t>https://catalog.northeastern.edu/undergraduate/science/biology/biology-mathematics-bs</t>
  </si>
  <si>
    <t>MATH-UA 121, 122, 123, 140</t>
  </si>
  <si>
    <t>https://math.nyu.edu/media/math/filer_public/f8/eb/f8eb4d2e-81c8-4421-8f62-fc2683e63e64/csma_major_honors_check_sheet.pdf</t>
  </si>
  <si>
    <t>Calculus and linear algebra sequences align closely.</t>
  </si>
  <si>
    <t>Program</t>
  </si>
  <si>
    <t>Requirement type</t>
  </si>
  <si>
    <t>Verified</t>
  </si>
  <si>
    <t>Source</t>
  </si>
  <si>
    <t>CAS CS 111</t>
  </si>
  <si>
    <t>Introduction to Computer Science 1</t>
  </si>
  <si>
    <t>Core (Group A)</t>
  </si>
  <si>
    <t>Yes</t>
  </si>
  <si>
    <t>CAS CS 112</t>
  </si>
  <si>
    <t>Introduction to Computer Science 2</t>
  </si>
  <si>
    <t>CAS CS 131</t>
  </si>
  <si>
    <t>Combinatoric Structures</t>
  </si>
  <si>
    <t>CAS CS 210</t>
  </si>
  <si>
    <t>Computer Systems</t>
  </si>
  <si>
    <t>CAS CS 330</t>
  </si>
  <si>
    <t>Introduction to the Analysis of Algorithms</t>
  </si>
  <si>
    <t>CAS CS 132</t>
  </si>
  <si>
    <t>Geometric Algorithms</t>
  </si>
  <si>
    <t>Group B (choose)</t>
  </si>
  <si>
    <t>CAS MA 242 may substitute</t>
  </si>
  <si>
    <t>CAS CS 235</t>
  </si>
  <si>
    <t>Algebraic Algorithms</t>
  </si>
  <si>
    <t>CAS MA 294 may substitute</t>
  </si>
  <si>
    <t>CAS CS 237</t>
  </si>
  <si>
    <t>Probability in Computing</t>
  </si>
  <si>
    <t>CAS MA 581 may substitute</t>
  </si>
  <si>
    <t>CAS CS 320</t>
  </si>
  <si>
    <t>Concepts of Programming Languages</t>
  </si>
  <si>
    <t>Group C (BU only)</t>
  </si>
  <si>
    <t>Must be taken at BU; cannot be transferred</t>
  </si>
  <si>
    <t>CAS CS 332</t>
  </si>
  <si>
    <t>Elements of the Theory of Computation</t>
  </si>
  <si>
    <t>CAS CS 350</t>
  </si>
  <si>
    <t>Fundamentals of Computing Systems</t>
  </si>
  <si>
    <t>CAS EC 101</t>
  </si>
  <si>
    <t>Introductory Microeconomic Analysis</t>
  </si>
  <si>
    <t>Intro</t>
  </si>
  <si>
    <t>CAS EC 102</t>
  </si>
  <si>
    <t>Introductory Macroeconomic Analysis</t>
  </si>
  <si>
    <t>CAS EC 201</t>
  </si>
  <si>
    <t>Intermediate Microeconomic Analysis</t>
  </si>
  <si>
    <t>Core</t>
  </si>
  <si>
    <t>Max 4 courses at 200+ level transferable after matriculation</t>
  </si>
  <si>
    <t>CAS EC 202</t>
  </si>
  <si>
    <t>Intermediate Macroeconomic Analysis</t>
  </si>
  <si>
    <t>CAS EC 203</t>
  </si>
  <si>
    <t>Empirical Economics 1</t>
  </si>
  <si>
    <t>MA 115, MA 213 or QST QM 221 accepted as substitutes</t>
  </si>
  <si>
    <t>CAS EC 204</t>
  </si>
  <si>
    <t>Empirical Economics 2</t>
  </si>
  <si>
    <t>CAS PS 101</t>
  </si>
  <si>
    <t>General Psychology</t>
  </si>
  <si>
    <t>Prerequisite</t>
  </si>
  <si>
    <t>CAS PS 211</t>
  </si>
  <si>
    <t>Experimental Design in Psychology</t>
  </si>
  <si>
    <t>Design &amp; Statistics</t>
  </si>
  <si>
    <t>Or MA 115 + MA 116; not a principal course</t>
  </si>
  <si>
    <t>CAS PS 231</t>
  </si>
  <si>
    <t>Physiological Psychology</t>
  </si>
  <si>
    <t>Required principal</t>
  </si>
  <si>
    <t>CAS PS 222</t>
  </si>
  <si>
    <t>Perception and Behavior</t>
  </si>
  <si>
    <t>Group A</t>
  </si>
  <si>
    <t>CAS PS 336</t>
  </si>
  <si>
    <t>Introduction to Cognitive Psychology</t>
  </si>
  <si>
    <t>CAS PS 241</t>
  </si>
  <si>
    <t>Developmental Psychology</t>
  </si>
  <si>
    <t>Group B</t>
  </si>
  <si>
    <t>CAS PS 251</t>
  </si>
  <si>
    <t>Psychology of Personality: Theories and Application</t>
  </si>
  <si>
    <t>CAS PS 261</t>
  </si>
  <si>
    <t>Social Psychology</t>
  </si>
  <si>
    <t>CAS PS 371</t>
  </si>
  <si>
    <t>Psychopathology</t>
  </si>
  <si>
    <t>Formerly Abnormal Psychology</t>
  </si>
  <si>
    <t>CAS BI 107</t>
  </si>
  <si>
    <t>Biology 1</t>
  </si>
  <si>
    <t>CAS BI 108</t>
  </si>
  <si>
    <t>Biology 2</t>
  </si>
  <si>
    <t>CAS BI 203</t>
  </si>
  <si>
    <t>Cell Biology</t>
  </si>
  <si>
    <t>https://www.bu.edu/scied/academics/specialization-in-biology/</t>
  </si>
  <si>
    <t>CAS BI 206</t>
  </si>
  <si>
    <t>Genetics</t>
  </si>
  <si>
    <t>CAS CH 101</t>
  </si>
  <si>
    <t>General Chemistry 1</t>
  </si>
  <si>
    <t>Supporting (Chemistry)</t>
  </si>
  <si>
    <t>CAS CH 102</t>
  </si>
  <si>
    <t>General Chemistry 2</t>
  </si>
  <si>
    <t>CAS CH 203</t>
  </si>
  <si>
    <t>Organic Chemistry 1</t>
  </si>
  <si>
    <t>CAS CH 204</t>
  </si>
  <si>
    <t>Organic Chemistry 2</t>
  </si>
  <si>
    <t>CAS MA 123</t>
  </si>
  <si>
    <t>Calculus I</t>
  </si>
  <si>
    <t>Lower division</t>
  </si>
  <si>
    <t>CAS MA 124</t>
  </si>
  <si>
    <t>Calculus II</t>
  </si>
  <si>
    <t>CAS MA 225</t>
  </si>
  <si>
    <t>Multivariate Calculus</t>
  </si>
  <si>
    <t>CAS MA 242</t>
  </si>
  <si>
    <t>Linear Algebra</t>
  </si>
  <si>
    <t>https://bu.edu/academics/cas/programs/mathematics-statistics/ba-mathematics-computer-science</t>
  </si>
  <si>
    <t>CAS MA 226</t>
  </si>
  <si>
    <t>Differential Equations</t>
  </si>
  <si>
    <t>Check</t>
  </si>
  <si>
    <t>Title from memory; confirm in Bulletin</t>
  </si>
  <si>
    <t>CAS MA 293</t>
  </si>
  <si>
    <t>Discrete Mathematics</t>
  </si>
  <si>
    <t>CAS MA 581</t>
  </si>
  <si>
    <t>Probability</t>
  </si>
  <si>
    <t>Upper division</t>
  </si>
  <si>
    <t>CS 2000</t>
  </si>
  <si>
    <t>Introduction to Program Design and Implementation</t>
  </si>
  <si>
    <t>Fundamental</t>
  </si>
  <si>
    <t>Includes CS 2001 lab</t>
  </si>
  <si>
    <t>CS 2100</t>
  </si>
  <si>
    <t>Program Design and Implementation 1</t>
  </si>
  <si>
    <t>Includes CS 2101 lab</t>
  </si>
  <si>
    <t>CS 3100</t>
  </si>
  <si>
    <t>Program Design and Implementation 2</t>
  </si>
  <si>
    <t>Required</t>
  </si>
  <si>
    <t>Includes CS 3101 lab</t>
  </si>
  <si>
    <t>CS 1800</t>
  </si>
  <si>
    <t>Discrete Structures</t>
  </si>
  <si>
    <t>CS 2700</t>
  </si>
  <si>
    <t>Data Structures and Analysis</t>
  </si>
  <si>
    <t>Includes CS 2701 lab</t>
  </si>
  <si>
    <t>Algorithms and Data</t>
  </si>
  <si>
    <t>CS 3650</t>
  </si>
  <si>
    <t>CS 3800</t>
  </si>
  <si>
    <t>Theory of Computation</t>
  </si>
  <si>
    <t>CS 4400</t>
  </si>
  <si>
    <t>Programming Languages</t>
  </si>
  <si>
    <t>Concentration</t>
  </si>
  <si>
    <t>Software concentration</t>
  </si>
  <si>
    <t>CS 2800</t>
  </si>
  <si>
    <t>Logic and Computation</t>
  </si>
  <si>
    <t>DS 3000</t>
  </si>
  <si>
    <t>Mathematical Foundations of Artificial Intelligence</t>
  </si>
  <si>
    <t>ECON 1116</t>
  </si>
  <si>
    <t>Principles of Microeconomics</t>
  </si>
  <si>
    <t>ECON 1115</t>
  </si>
  <si>
    <t>Principles of Macroeconomics</t>
  </si>
  <si>
    <t>ECON 2316</t>
  </si>
  <si>
    <t>Microeconomic Theory</t>
  </si>
  <si>
    <t>ECON 2315</t>
  </si>
  <si>
    <t>Macroeconomic Theory</t>
  </si>
  <si>
    <t>ECON 2350</t>
  </si>
  <si>
    <t>Statistics for Economists</t>
  </si>
  <si>
    <t>Required (most majors)</t>
  </si>
  <si>
    <t>ECON 2560</t>
  </si>
  <si>
    <t>Applied Econometrics</t>
  </si>
  <si>
    <t>PSYC 1101</t>
  </si>
  <si>
    <t>Foundations of Psychology</t>
  </si>
  <si>
    <t>PSYC 2320</t>
  </si>
  <si>
    <t>Statistics in Psychological Research</t>
  </si>
  <si>
    <t>PSYC 3458</t>
  </si>
  <si>
    <t>Biological Psychology</t>
  </si>
  <si>
    <t>Required (choose)</t>
  </si>
  <si>
    <t>PSYC 3402</t>
  </si>
  <si>
    <t>PSYC 3404</t>
  </si>
  <si>
    <t>PSYC 3464</t>
  </si>
  <si>
    <t>Psychology of Language</t>
  </si>
  <si>
    <t>BIOL 1107</t>
  </si>
  <si>
    <t>Foundations of Biology</t>
  </si>
  <si>
    <t>Includes BIOL 1108 lab</t>
  </si>
  <si>
    <t>BIOL 1113</t>
  </si>
  <si>
    <t>General Biology 2</t>
  </si>
  <si>
    <t>Core (some majors)</t>
  </si>
  <si>
    <t>Continues BIOL 1111</t>
  </si>
  <si>
    <t>https://catalog.northeastern.edu/course-descriptions/biol</t>
  </si>
  <si>
    <t>BIOL 2299</t>
  </si>
  <si>
    <t>Inquiries in Biological Sciences</t>
  </si>
  <si>
    <t>BIOL 2301</t>
  </si>
  <si>
    <t>Genetics and Molecular Biology</t>
  </si>
  <si>
    <t>Includes BIOL 2302 lab</t>
  </si>
  <si>
    <t>BIOL 3611</t>
  </si>
  <si>
    <t>Biochemistry</t>
  </si>
  <si>
    <t>Includes BIOL 3612 lab</t>
  </si>
  <si>
    <t>CHEM 1161</t>
  </si>
  <si>
    <t>General Chemistry for Science Majors</t>
  </si>
  <si>
    <t>One-semester course with lab and recitation</t>
  </si>
  <si>
    <t>CHEM 2311</t>
  </si>
  <si>
    <t>Includes CHEM 2312 lab</t>
  </si>
  <si>
    <t>CHEM 2313</t>
  </si>
  <si>
    <t>Includes CHEM 2314 lab</t>
  </si>
  <si>
    <t>MATH 1341</t>
  </si>
  <si>
    <t>Calculus 1 for Science and Engineering</t>
  </si>
  <si>
    <t>Supporting</t>
  </si>
  <si>
    <t>MATH 1342</t>
  </si>
  <si>
    <t>Calculus 2 for Science and Engineering</t>
  </si>
  <si>
    <t>MATH 2321</t>
  </si>
  <si>
    <t>Calculus 3 for Science and Engineering</t>
  </si>
  <si>
    <t>Code verified; title from memory</t>
  </si>
  <si>
    <t>MATH 2331</t>
  </si>
  <si>
    <t>Code and title from memory; confirm in catalog</t>
  </si>
  <si>
    <t>MATH 2341</t>
  </si>
  <si>
    <t>Differential Equations and Linear Algebra for Engineering</t>
  </si>
  <si>
    <t>MATH 1365</t>
  </si>
  <si>
    <t>Introduction to Mathematical Reasoning</t>
  </si>
  <si>
    <t>MATH 3081</t>
  </si>
  <si>
    <t>Probability and Statistics</t>
  </si>
  <si>
    <t>CSCI-UA 101</t>
  </si>
  <si>
    <t>Intro to Computer Science</t>
  </si>
  <si>
    <t>CSCI-UA 102</t>
  </si>
  <si>
    <t>Data Structures</t>
  </si>
  <si>
    <t>CSCI-UA 201</t>
  </si>
  <si>
    <t>Computer Systems Organization</t>
  </si>
  <si>
    <t>CSCI-UA 202</t>
  </si>
  <si>
    <t>Operating Systems</t>
  </si>
  <si>
    <t>CSCI-UA 310</t>
  </si>
  <si>
    <t>Basic Algorithms</t>
  </si>
  <si>
    <t>CSCI-UA 453</t>
  </si>
  <si>
    <t>Joint/honors major</t>
  </si>
  <si>
    <t>MATH-UA 120</t>
  </si>
  <si>
    <t>ECON-UA 2</t>
  </si>
  <si>
    <t>Introduction to Microeconomics</t>
  </si>
  <si>
    <t>ECON-UA 1</t>
  </si>
  <si>
    <t>Introduction to Macroeconomics</t>
  </si>
  <si>
    <t>ECON-UA 10</t>
  </si>
  <si>
    <t>Intermediate Microeconomics</t>
  </si>
  <si>
    <t>Core (Policy)</t>
  </si>
  <si>
    <t>Theory track: ECON-UA 11</t>
  </si>
  <si>
    <t>ECON-UA 12</t>
  </si>
  <si>
    <t>Intermediate Macroeconomics</t>
  </si>
  <si>
    <t>Theory track: ECON-UA 13</t>
  </si>
  <si>
    <t>ECON-UA 18</t>
  </si>
  <si>
    <t>Statistics</t>
  </si>
  <si>
    <t>Theory track: ECON-UA 20</t>
  </si>
  <si>
    <t>ECON-UA 266</t>
  </si>
  <si>
    <t>Intro to Econometrics</t>
  </si>
  <si>
    <t>PSYCH-UA 1</t>
  </si>
  <si>
    <t>Intro to Psychology</t>
  </si>
  <si>
    <t>PSYCH-UA 10</t>
  </si>
  <si>
    <t>Statistics for the Behavioral Sciences</t>
  </si>
  <si>
    <t>PSYCH-UA 11</t>
  </si>
  <si>
    <t>Statistics and Data Analysis for Research in Psychology</t>
  </si>
  <si>
    <t>PSYCH-UA 22</t>
  </si>
  <si>
    <t>Perception</t>
  </si>
  <si>
    <t>Core (choose)</t>
  </si>
  <si>
    <t>PSYCH-UA 25</t>
  </si>
  <si>
    <t>Cognitive Neuroscience</t>
  </si>
  <si>
    <t>PSYCH-UA 29</t>
  </si>
  <si>
    <t>Cognition</t>
  </si>
  <si>
    <t>PSYCH-UA 30</t>
  </si>
  <si>
    <t>Personality</t>
  </si>
  <si>
    <t>PSYCH-UA 32</t>
  </si>
  <si>
    <t>PSYCH-UA 34</t>
  </si>
  <si>
    <t>PSYCH-UA 51</t>
  </si>
  <si>
    <t>Abnormal Psychology</t>
  </si>
  <si>
    <t>Elective</t>
  </si>
  <si>
    <t>BIOL-UA 11</t>
  </si>
  <si>
    <t>Principles of Biology I</t>
  </si>
  <si>
    <t>BIOL-UA 12</t>
  </si>
  <si>
    <t>Principles of Biology II</t>
  </si>
  <si>
    <t>BIOL-UA 21</t>
  </si>
  <si>
    <t>Molecular and Cell Biology I</t>
  </si>
  <si>
    <t>BIOL-UA 30</t>
  </si>
  <si>
    <t>Elective / minor</t>
  </si>
  <si>
    <t>https://courses.bio.nyu.edu/requirement/minor-genetics</t>
  </si>
  <si>
    <t>CHEM-UA 125</t>
  </si>
  <si>
    <t>General Chemistry I</t>
  </si>
  <si>
    <t>Code verified; title and credits from memory</t>
  </si>
  <si>
    <t>https://www.tmdsas.com/course-listings/Schools/NYU_SU11-SU12.html</t>
  </si>
  <si>
    <t>CHEM-UA 126</t>
  </si>
  <si>
    <t>General Chemistry II</t>
  </si>
  <si>
    <t>CHEM-UA 225</t>
  </si>
  <si>
    <t>Organic Chemistry I</t>
  </si>
  <si>
    <t>CHEM-UA 226</t>
  </si>
  <si>
    <t>Organic Chemistry II</t>
  </si>
  <si>
    <t>MATH-UA 121</t>
  </si>
  <si>
    <t>MATH-UA 122</t>
  </si>
  <si>
    <t>MATH-UA 123</t>
  </si>
  <si>
    <t>Calculus III</t>
  </si>
  <si>
    <t>MATH-UA 140</t>
  </si>
  <si>
    <t>MATH-UA 262</t>
  </si>
  <si>
    <t>Ordinary Differential Equations</t>
  </si>
  <si>
    <t>https://math.nyu.edu/media/math/filer_public/32/54/32545937-adf4-4d3e-9592-b41a155c83fc/ecma_major_check_sheet_as_of_2014.pdf</t>
  </si>
  <si>
    <t>MATH-UA 233</t>
  </si>
  <si>
    <t>Theory of Probability</t>
  </si>
  <si>
    <t>MATH-UA 235</t>
  </si>
  <si>
    <t>Probability &amp; Statistics</t>
  </si>
  <si>
    <t>BU course</t>
  </si>
  <si>
    <t>BU title</t>
  </si>
  <si>
    <t>BU credits</t>
  </si>
  <si>
    <t>Northeastern course</t>
  </si>
  <si>
    <t>NU title</t>
  </si>
  <si>
    <t>NU credits</t>
  </si>
  <si>
    <t>NU match level</t>
  </si>
  <si>
    <t>NYU course</t>
  </si>
  <si>
    <t>NYU title</t>
  </si>
  <si>
    <t>NYU credits</t>
  </si>
  <si>
    <t>NYU match level</t>
  </si>
  <si>
    <t>Likely equivalent</t>
  </si>
  <si>
    <t>Intro programming courses.</t>
  </si>
  <si>
    <t>Partial - syllabus review</t>
  </si>
  <si>
    <t>NU splits program design (CS 2100) and data structures (CS 2700); evaluator may need both.</t>
  </si>
  <si>
    <t>Discrete structures / discrete math.</t>
  </si>
  <si>
    <t>Computer systems / organization.</t>
  </si>
  <si>
    <t>Algorithms.</t>
  </si>
  <si>
    <t>BU allows MA 242 (Linear Algebra) to substitute for CS 132.</t>
  </si>
  <si>
    <t>—</t>
  </si>
  <si>
    <t>No equivalent found</t>
  </si>
  <si>
    <t>No algebraic-algorithms course in the core of either peer.</t>
  </si>
  <si>
    <t>BU allows MA 581 (Probability) to substitute for CS 237.</t>
  </si>
  <si>
    <t>Must be taken at BU</t>
  </si>
  <si>
    <t>Group C: BU only, even if a similar course exists.</t>
  </si>
  <si>
    <t>Principles of microeconomics.</t>
  </si>
  <si>
    <t>Principles of macroeconomics.</t>
  </si>
  <si>
    <t>Counts toward BU's 4-course cap on 200+ level transfers.</t>
  </si>
  <si>
    <t>Statistics for economics.</t>
  </si>
  <si>
    <t>Econometrics content; check depth against EC 204.</t>
  </si>
  <si>
    <t>Intro psychology.</t>
  </si>
  <si>
    <t>Peer courses are statistics-focused; BU PS 211 is experimental design.</t>
  </si>
  <si>
    <t>NYU course is cognitive neuroscience rather than physiological psychology.</t>
  </si>
  <si>
    <t>Perception.</t>
  </si>
  <si>
    <t>Cognition.</t>
  </si>
  <si>
    <t>Developmental psychology.</t>
  </si>
  <si>
    <t>Personality.</t>
  </si>
  <si>
    <t>Social psychology.</t>
  </si>
  <si>
    <t>NU lists a Clinical Psychology and Mental Health course; code not verified here.</t>
  </si>
  <si>
    <t>First-semester biology.</t>
  </si>
  <si>
    <t>Second-semester biology.</t>
  </si>
  <si>
    <t>NYU course combines molecular and cell biology.</t>
  </si>
  <si>
    <t>NU course combines genetics and molecular biology.</t>
  </si>
  <si>
    <t>NU covers general chemistry in one accelerated 5-credit course; may map to CH 101 or CH 101 + CH 102.</t>
  </si>
  <si>
    <t>See CH 101 note.</t>
  </si>
  <si>
    <t>Organic chemistry 1.</t>
  </si>
  <si>
    <t>Organic chemistry 2.</t>
  </si>
  <si>
    <t>Calculus I.</t>
  </si>
  <si>
    <t>Calculus II.</t>
  </si>
  <si>
    <t>Multivariable calculus.</t>
  </si>
  <si>
    <t>Linear algebra.</t>
  </si>
  <si>
    <t>NU course combines differential equations with linear algebra.</t>
  </si>
  <si>
    <t>NU CS 1800 is another possible match.</t>
  </si>
  <si>
    <t>NU course combines probability and statistics.</t>
  </si>
  <si>
    <t>Blue course codes are inputs; titles and credits are pulled by formula from the course sheets. Match levels are preliminary and can be changed from the dropdown.</t>
  </si>
  <si>
    <t>Match Summary by Program</t>
  </si>
  <si>
    <t>All counts and percentages are formulas over the Course Match sheet.</t>
  </si>
  <si>
    <t>BU ↔ Northeastern</t>
  </si>
  <si>
    <t>BU courses</t>
  </si>
  <si>
    <t>% likely equivalent</t>
  </si>
  <si>
    <t>Total</t>
  </si>
  <si>
    <t>BU ↔ NYU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</si>
</sst>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26215C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26215C"/>
      <name val="Arial"/>
      <charset val="1"/>
    </font>
    <font>
      <i/>
      <sz val="9"/>
      <color rgb="FF5F5E5A"/>
      <name val="Arial"/>
      <charset val="1"/>
    </font>
    <font>
      <b/>
      <sz val="11"/>
      <color rgb="FF0000FF"/>
      <name val="Arial"/>
      <charset val="1"/>
    </font>
    <font>
      <b/>
      <sz val="12"/>
      <color rgb="FF534AB7"/>
      <name val="Arial"/>
      <charset val="1"/>
    </font>
    <font>
      <b/>
      <sz val="11"/>
      <color rgb="FFFFFFFF"/>
      <name val="Arial"/>
      <charset val="1"/>
    </font>
    <font>
      <u/>
      <sz val="10"/>
      <color rgb="FF0563C1"/>
      <name val="Arial"/>
      <charset val="1"/>
    </font>
    <font>
      <sz val="10"/>
      <color rgb="FF0000FF"/>
      <name val="Arial"/>
      <charset val="1"/>
    </font>
    <font>
      <b/>
      <sz val="11"/>
      <color rgb="FF26215C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E1F5EE"/>
        <bgColor rgb="FFF1EFE8"/>
      </patternFill>
    </fill>
    <fill>
      <patternFill patternType="solid">
        <fgColor rgb="FFFAEEDA"/>
        <bgColor rgb="FFFCEBEB"/>
      </patternFill>
    </fill>
    <fill>
      <patternFill patternType="solid">
        <fgColor rgb="FFF1EFE8"/>
        <bgColor rgb="FFFAEEDA"/>
      </patternFill>
    </fill>
    <fill>
      <patternFill patternType="solid">
        <fgColor rgb="FFFCEBEB"/>
        <bgColor rgb="FFFAEEDA"/>
      </patternFill>
    </fill>
    <fill>
      <patternFill patternType="solid">
        <fgColor rgb="FFFFFF00"/>
        <bgColor rgb="FFFFFF00"/>
      </patternFill>
    </fill>
    <fill>
      <patternFill patternType="solid">
        <fgColor rgb="FF26215C"/>
        <bgColor rgb="FF003366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6" borderId="1" xfId="0" applyFont="1" applyFill="1" applyBorder="1"/>
    <xf numFmtId="0" fontId="7" fillId="0" borderId="0" xfId="0" applyFont="1"/>
    <xf numFmtId="0" fontId="2" fillId="0" borderId="1" xfId="0" applyFont="1" applyBorder="1" applyAlignment="1">
      <alignment vertical="top" wrapText="1"/>
    </xf>
    <xf numFmtId="0" fontId="8" fillId="7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  <xf numFmtId="0" fontId="8" fillId="7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5">
    <dxf>
      <fill>
        <patternFill>
          <bgColor rgb="FFFCEBEB"/>
        </patternFill>
      </fill>
    </dxf>
    <dxf>
      <fill>
        <patternFill>
          <bgColor rgb="FFF1EFE8"/>
        </patternFill>
      </fill>
    </dxf>
    <dxf>
      <fill>
        <patternFill>
          <bgColor rgb="FFFAEEDA"/>
        </patternFill>
      </fill>
    </dxf>
    <dxf>
      <fill>
        <patternFill>
          <bgColor rgb="FFE1F5EE"/>
        </patternFill>
      </fill>
    </dxf>
    <dxf>
      <fill>
        <patternFill>
          <bgColor rgb="FFFCEBEB"/>
        </patternFill>
      </fill>
    </dxf>
    <dxf>
      <fill>
        <patternFill>
          <bgColor rgb="FFF1EFE8"/>
        </patternFill>
      </fill>
    </dxf>
    <dxf>
      <fill>
        <patternFill>
          <bgColor rgb="FFFAEEDA"/>
        </patternFill>
      </fill>
    </dxf>
    <dxf>
      <fill>
        <patternFill>
          <bgColor rgb="FFE1F5EE"/>
        </patternFill>
      </fill>
    </dxf>
    <dxf>
      <fill>
        <patternFill>
          <bgColor rgb="FFFAEEDA"/>
        </patternFill>
      </fill>
    </dxf>
    <dxf>
      <fill>
        <patternFill>
          <bgColor rgb="FFFAEEDA"/>
        </patternFill>
      </fill>
    </dxf>
    <dxf>
      <fill>
        <patternFill>
          <bgColor rgb="FFFAEEDA"/>
        </patternFill>
      </fill>
    </dxf>
    <dxf>
      <fill>
        <patternFill>
          <bgColor rgb="FFFCEBEB"/>
        </patternFill>
      </fill>
    </dxf>
    <dxf>
      <fill>
        <patternFill>
          <bgColor rgb="FFF1EFE8"/>
        </patternFill>
      </fill>
    </dxf>
    <dxf>
      <fill>
        <patternFill>
          <bgColor rgb="FFFAEEDA"/>
        </patternFill>
      </fill>
    </dxf>
    <dxf>
      <fill>
        <patternFill>
          <bgColor rgb="FFE1F5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AEEDA"/>
      <rgbColor rgb="FFE1F5EE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534AB7"/>
      <rgbColor rgb="FF2621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og.northeastern.edu/undergraduate/science/psychology/psychology-bs" TargetMode="External"/><Relationship Id="rId13" Type="http://schemas.openxmlformats.org/officeDocument/2006/relationships/hyperlink" Target="https://www.bu.edu/math/undergraduate/faqs-and-forms/" TargetMode="External"/><Relationship Id="rId3" Type="http://schemas.openxmlformats.org/officeDocument/2006/relationships/hyperlink" Target="https://bulletins.nyu.edu/undergraduate/arts-science/programs/computer-science-ba/computer-science-ba.pdf" TargetMode="External"/><Relationship Id="rId7" Type="http://schemas.openxmlformats.org/officeDocument/2006/relationships/hyperlink" Target="https://www.bu.edu/academics/cas/programs/psychology/ba/" TargetMode="External"/><Relationship Id="rId12" Type="http://schemas.openxmlformats.org/officeDocument/2006/relationships/hyperlink" Target="https://courses.bio.nyu.edu/requirement/major-standard-track/required" TargetMode="External"/><Relationship Id="rId2" Type="http://schemas.openxmlformats.org/officeDocument/2006/relationships/hyperlink" Target="https://catalog.northeastern.edu/undergraduate/computer-information-science/computer-science/bscs/" TargetMode="External"/><Relationship Id="rId1" Type="http://schemas.openxmlformats.org/officeDocument/2006/relationships/hyperlink" Target="https://www.bu.edu/academics/cas/programs/computer-science/ba/" TargetMode="External"/><Relationship Id="rId6" Type="http://schemas.openxmlformats.org/officeDocument/2006/relationships/hyperlink" Target="https://bulletins.nyu.edu/undergraduate/arts-science/programs/economics-ba/economics-ba.pdf" TargetMode="External"/><Relationship Id="rId11" Type="http://schemas.openxmlformats.org/officeDocument/2006/relationships/hyperlink" Target="https://catalog.northeastern.edu/undergraduate/science/biology/biology-bs/" TargetMode="External"/><Relationship Id="rId5" Type="http://schemas.openxmlformats.org/officeDocument/2006/relationships/hyperlink" Target="https://catalog.northeastern.edu/undergraduate/social-sciences-humanities/economics/economics-mathematics-bs/" TargetMode="External"/><Relationship Id="rId15" Type="http://schemas.openxmlformats.org/officeDocument/2006/relationships/hyperlink" Target="https://math.nyu.edu/media/math/filer_public/f8/eb/f8eb4d2e-81c8-4421-8f62-fc2683e63e64/csma_major_honors_check_sheet.pdf" TargetMode="External"/><Relationship Id="rId10" Type="http://schemas.openxmlformats.org/officeDocument/2006/relationships/hyperlink" Target="https://www.bu.edu/academics/cas/departments/biology/" TargetMode="External"/><Relationship Id="rId4" Type="http://schemas.openxmlformats.org/officeDocument/2006/relationships/hyperlink" Target="https://www.bu.edu/academics/cas/programs/economics/ba" TargetMode="External"/><Relationship Id="rId9" Type="http://schemas.openxmlformats.org/officeDocument/2006/relationships/hyperlink" Target="https://bulletins.nyu.edu/courses/psych_ua/psych_ua.pdf" TargetMode="External"/><Relationship Id="rId14" Type="http://schemas.openxmlformats.org/officeDocument/2006/relationships/hyperlink" Target="https://catalog.northeastern.edu/undergraduate/science/biology/biology-mathematics-b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u.edu/academics/cas/programs/economics/ba" TargetMode="External"/><Relationship Id="rId18" Type="http://schemas.openxmlformats.org/officeDocument/2006/relationships/hyperlink" Target="https://www.bu.edu/academics/cas/programs/psychology/ba/" TargetMode="External"/><Relationship Id="rId26" Type="http://schemas.openxmlformats.org/officeDocument/2006/relationships/hyperlink" Target="https://www.bu.edu/academics/cas/programs/psychology/ba/" TargetMode="External"/><Relationship Id="rId39" Type="http://schemas.openxmlformats.org/officeDocument/2006/relationships/hyperlink" Target="https://www.bu.edu/math/undergraduate/faqs-and-forms/" TargetMode="External"/><Relationship Id="rId21" Type="http://schemas.openxmlformats.org/officeDocument/2006/relationships/hyperlink" Target="https://www.bu.edu/academics/cas/programs/psychology/ba/" TargetMode="External"/><Relationship Id="rId34" Type="http://schemas.openxmlformats.org/officeDocument/2006/relationships/hyperlink" Target="https://www.bu.edu/scied/academics/specialization-in-biology/" TargetMode="External"/><Relationship Id="rId7" Type="http://schemas.openxmlformats.org/officeDocument/2006/relationships/hyperlink" Target="https://www.bu.edu/academics/cas/programs/computer-science/ba/" TargetMode="External"/><Relationship Id="rId2" Type="http://schemas.openxmlformats.org/officeDocument/2006/relationships/hyperlink" Target="https://www.bu.edu/academics/cas/programs/computer-science/ba/" TargetMode="External"/><Relationship Id="rId16" Type="http://schemas.openxmlformats.org/officeDocument/2006/relationships/hyperlink" Target="https://www.bu.edu/academics/cas/programs/economics/ba" TargetMode="External"/><Relationship Id="rId20" Type="http://schemas.openxmlformats.org/officeDocument/2006/relationships/hyperlink" Target="https://www.bu.edu/academics/cas/programs/psychology/ba/" TargetMode="External"/><Relationship Id="rId29" Type="http://schemas.openxmlformats.org/officeDocument/2006/relationships/hyperlink" Target="https://www.bu.edu/scied/academics/specialization-in-biology/" TargetMode="External"/><Relationship Id="rId41" Type="http://schemas.openxmlformats.org/officeDocument/2006/relationships/hyperlink" Target="https://bu.edu/academics/cas/programs/mathematics-statistics/ba-mathematics-computer-science" TargetMode="External"/><Relationship Id="rId1" Type="http://schemas.openxmlformats.org/officeDocument/2006/relationships/hyperlink" Target="https://www.bu.edu/academics/cas/programs/computer-science/ba/" TargetMode="External"/><Relationship Id="rId6" Type="http://schemas.openxmlformats.org/officeDocument/2006/relationships/hyperlink" Target="https://www.bu.edu/academics/cas/programs/computer-science/ba/" TargetMode="External"/><Relationship Id="rId11" Type="http://schemas.openxmlformats.org/officeDocument/2006/relationships/hyperlink" Target="https://www.bu.edu/academics/cas/programs/computer-science/ba/" TargetMode="External"/><Relationship Id="rId24" Type="http://schemas.openxmlformats.org/officeDocument/2006/relationships/hyperlink" Target="https://www.bu.edu/academics/cas/programs/psychology/ba/" TargetMode="External"/><Relationship Id="rId32" Type="http://schemas.openxmlformats.org/officeDocument/2006/relationships/hyperlink" Target="https://www.bu.edu/scied/academics/specialization-in-biology/" TargetMode="External"/><Relationship Id="rId37" Type="http://schemas.openxmlformats.org/officeDocument/2006/relationships/hyperlink" Target="https://www.bu.edu/math/undergraduate/faqs-and-forms/" TargetMode="External"/><Relationship Id="rId40" Type="http://schemas.openxmlformats.org/officeDocument/2006/relationships/hyperlink" Target="https://bu.edu/academics/cas/programs/mathematics-statistics/ba-mathematics-computer-science" TargetMode="External"/><Relationship Id="rId5" Type="http://schemas.openxmlformats.org/officeDocument/2006/relationships/hyperlink" Target="https://www.bu.edu/academics/cas/programs/computer-science/ba/" TargetMode="External"/><Relationship Id="rId15" Type="http://schemas.openxmlformats.org/officeDocument/2006/relationships/hyperlink" Target="https://www.bu.edu/academics/cas/programs/economics/ba" TargetMode="External"/><Relationship Id="rId23" Type="http://schemas.openxmlformats.org/officeDocument/2006/relationships/hyperlink" Target="https://www.bu.edu/academics/cas/programs/psychology/ba/" TargetMode="External"/><Relationship Id="rId28" Type="http://schemas.openxmlformats.org/officeDocument/2006/relationships/hyperlink" Target="https://www.bu.edu/academics/cas/departments/biology/" TargetMode="External"/><Relationship Id="rId36" Type="http://schemas.openxmlformats.org/officeDocument/2006/relationships/hyperlink" Target="https://www.bu.edu/math/undergraduate/faqs-and-forms/" TargetMode="External"/><Relationship Id="rId10" Type="http://schemas.openxmlformats.org/officeDocument/2006/relationships/hyperlink" Target="https://www.bu.edu/academics/cas/programs/computer-science/ba/" TargetMode="External"/><Relationship Id="rId19" Type="http://schemas.openxmlformats.org/officeDocument/2006/relationships/hyperlink" Target="https://www.bu.edu/academics/cas/programs/psychology/ba/" TargetMode="External"/><Relationship Id="rId31" Type="http://schemas.openxmlformats.org/officeDocument/2006/relationships/hyperlink" Target="https://www.bu.edu/scied/academics/specialization-in-biology/" TargetMode="External"/><Relationship Id="rId4" Type="http://schemas.openxmlformats.org/officeDocument/2006/relationships/hyperlink" Target="https://www.bu.edu/academics/cas/programs/computer-science/ba/" TargetMode="External"/><Relationship Id="rId9" Type="http://schemas.openxmlformats.org/officeDocument/2006/relationships/hyperlink" Target="https://www.bu.edu/academics/cas/programs/computer-science/ba/" TargetMode="External"/><Relationship Id="rId14" Type="http://schemas.openxmlformats.org/officeDocument/2006/relationships/hyperlink" Target="https://www.bu.edu/academics/cas/programs/economics/ba" TargetMode="External"/><Relationship Id="rId22" Type="http://schemas.openxmlformats.org/officeDocument/2006/relationships/hyperlink" Target="https://www.bu.edu/academics/cas/programs/psychology/ba/" TargetMode="External"/><Relationship Id="rId27" Type="http://schemas.openxmlformats.org/officeDocument/2006/relationships/hyperlink" Target="https://www.bu.edu/academics/cas/departments/biology/" TargetMode="External"/><Relationship Id="rId30" Type="http://schemas.openxmlformats.org/officeDocument/2006/relationships/hyperlink" Target="https://www.bu.edu/scied/academics/specialization-in-biology/" TargetMode="External"/><Relationship Id="rId35" Type="http://schemas.openxmlformats.org/officeDocument/2006/relationships/hyperlink" Target="https://www.bu.edu/math/undergraduate/faqs-and-forms/" TargetMode="External"/><Relationship Id="rId8" Type="http://schemas.openxmlformats.org/officeDocument/2006/relationships/hyperlink" Target="https://www.bu.edu/academics/cas/programs/computer-science/ba/" TargetMode="External"/><Relationship Id="rId3" Type="http://schemas.openxmlformats.org/officeDocument/2006/relationships/hyperlink" Target="https://www.bu.edu/academics/cas/programs/computer-science/ba/" TargetMode="External"/><Relationship Id="rId12" Type="http://schemas.openxmlformats.org/officeDocument/2006/relationships/hyperlink" Target="https://www.bu.edu/academics/cas/programs/economics/ba" TargetMode="External"/><Relationship Id="rId17" Type="http://schemas.openxmlformats.org/officeDocument/2006/relationships/hyperlink" Target="https://www.bu.edu/academics/cas/programs/economics/ba" TargetMode="External"/><Relationship Id="rId25" Type="http://schemas.openxmlformats.org/officeDocument/2006/relationships/hyperlink" Target="https://www.bu.edu/academics/cas/programs/psychology/ba/" TargetMode="External"/><Relationship Id="rId33" Type="http://schemas.openxmlformats.org/officeDocument/2006/relationships/hyperlink" Target="https://www.bu.edu/scied/academics/specialization-in-biology/" TargetMode="External"/><Relationship Id="rId38" Type="http://schemas.openxmlformats.org/officeDocument/2006/relationships/hyperlink" Target="https://bu.edu/academics/cas/programs/mathematics-statistics/ba-mathematics-computer-science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.northeastern.edu/undergraduate/social-sciences-humanities/economics/economics-mathematics-bs/" TargetMode="External"/><Relationship Id="rId18" Type="http://schemas.openxmlformats.org/officeDocument/2006/relationships/hyperlink" Target="https://catalog.northeastern.edu/undergraduate/science/psychology/psychology-bs" TargetMode="External"/><Relationship Id="rId26" Type="http://schemas.openxmlformats.org/officeDocument/2006/relationships/hyperlink" Target="https://catalog.northeastern.edu/undergraduate/science/biology/biology-bs/" TargetMode="External"/><Relationship Id="rId21" Type="http://schemas.openxmlformats.org/officeDocument/2006/relationships/hyperlink" Target="https://catalog.northeastern.edu/undergraduate/science/psychology/psychology-bs" TargetMode="External"/><Relationship Id="rId34" Type="http://schemas.openxmlformats.org/officeDocument/2006/relationships/hyperlink" Target="https://catalog.northeastern.edu/undergraduate/science/biology/biology-mathematics-bs" TargetMode="External"/><Relationship Id="rId7" Type="http://schemas.openxmlformats.org/officeDocument/2006/relationships/hyperlink" Target="https://catalog.northeastern.edu/undergraduate/computer-information-science/computer-science/bscs/" TargetMode="External"/><Relationship Id="rId12" Type="http://schemas.openxmlformats.org/officeDocument/2006/relationships/hyperlink" Target="https://catalog.northeastern.edu/undergraduate/social-sciences-humanities/economics/economics-mathematics-bs/" TargetMode="External"/><Relationship Id="rId17" Type="http://schemas.openxmlformats.org/officeDocument/2006/relationships/hyperlink" Target="https://catalog.northeastern.edu/undergraduate/social-sciences-humanities/economics/economics-mathematics-bs/" TargetMode="External"/><Relationship Id="rId25" Type="http://schemas.openxmlformats.org/officeDocument/2006/relationships/hyperlink" Target="https://catalog.northeastern.edu/course-descriptions/biol" TargetMode="External"/><Relationship Id="rId33" Type="http://schemas.openxmlformats.org/officeDocument/2006/relationships/hyperlink" Target="https://catalog.northeastern.edu/undergraduate/science/biology/biology-mathematics-bs" TargetMode="External"/><Relationship Id="rId38" Type="http://schemas.openxmlformats.org/officeDocument/2006/relationships/hyperlink" Target="https://catalog.northeastern.edu/undergraduate/science/biology/biology-mathematics-bs" TargetMode="External"/><Relationship Id="rId2" Type="http://schemas.openxmlformats.org/officeDocument/2006/relationships/hyperlink" Target="https://catalog.northeastern.edu/undergraduate/computer-information-science/computer-science/bscs/" TargetMode="External"/><Relationship Id="rId16" Type="http://schemas.openxmlformats.org/officeDocument/2006/relationships/hyperlink" Target="https://catalog.northeastern.edu/undergraduate/social-sciences-humanities/economics/economics-mathematics-bs/" TargetMode="External"/><Relationship Id="rId20" Type="http://schemas.openxmlformats.org/officeDocument/2006/relationships/hyperlink" Target="https://catalog.northeastern.edu/undergraduate/science/psychology/psychology-bs" TargetMode="External"/><Relationship Id="rId29" Type="http://schemas.openxmlformats.org/officeDocument/2006/relationships/hyperlink" Target="https://catalog.northeastern.edu/undergraduate/science/biology/biology-bs/" TargetMode="External"/><Relationship Id="rId1" Type="http://schemas.openxmlformats.org/officeDocument/2006/relationships/hyperlink" Target="https://catalog.northeastern.edu/undergraduate/computer-information-science/computer-science/bscs/" TargetMode="External"/><Relationship Id="rId6" Type="http://schemas.openxmlformats.org/officeDocument/2006/relationships/hyperlink" Target="https://catalog.northeastern.edu/undergraduate/computer-information-science/computer-science/bscs/" TargetMode="External"/><Relationship Id="rId11" Type="http://schemas.openxmlformats.org/officeDocument/2006/relationships/hyperlink" Target="https://catalog.northeastern.edu/undergraduate/computer-information-science/computer-science/bscs/" TargetMode="External"/><Relationship Id="rId24" Type="http://schemas.openxmlformats.org/officeDocument/2006/relationships/hyperlink" Target="https://catalog.northeastern.edu/undergraduate/science/biology/biology-bs/" TargetMode="External"/><Relationship Id="rId32" Type="http://schemas.openxmlformats.org/officeDocument/2006/relationships/hyperlink" Target="https://catalog.northeastern.edu/undergraduate/computer-information-science/computer-science/bscs/" TargetMode="External"/><Relationship Id="rId37" Type="http://schemas.openxmlformats.org/officeDocument/2006/relationships/hyperlink" Target="https://catalog.northeastern.edu/undergraduate/computer-information-science/computer-science/bscs/" TargetMode="External"/><Relationship Id="rId5" Type="http://schemas.openxmlformats.org/officeDocument/2006/relationships/hyperlink" Target="https://catalog.northeastern.edu/undergraduate/computer-information-science/computer-science/bscs/" TargetMode="External"/><Relationship Id="rId15" Type="http://schemas.openxmlformats.org/officeDocument/2006/relationships/hyperlink" Target="https://catalog.northeastern.edu/undergraduate/social-sciences-humanities/economics/economics-mathematics-bs/" TargetMode="External"/><Relationship Id="rId23" Type="http://schemas.openxmlformats.org/officeDocument/2006/relationships/hyperlink" Target="https://catalog.northeastern.edu/undergraduate/science/psychology/psychology-bs" TargetMode="External"/><Relationship Id="rId28" Type="http://schemas.openxmlformats.org/officeDocument/2006/relationships/hyperlink" Target="https://catalog.northeastern.edu/undergraduate/science/biology/biology-bs/" TargetMode="External"/><Relationship Id="rId36" Type="http://schemas.openxmlformats.org/officeDocument/2006/relationships/hyperlink" Target="https://catalog.northeastern.edu/undergraduate/science/biology/biology-mathematics-bs" TargetMode="External"/><Relationship Id="rId10" Type="http://schemas.openxmlformats.org/officeDocument/2006/relationships/hyperlink" Target="https://catalog.northeastern.edu/undergraduate/computer-information-science/computer-science/bscs/" TargetMode="External"/><Relationship Id="rId19" Type="http://schemas.openxmlformats.org/officeDocument/2006/relationships/hyperlink" Target="https://catalog.northeastern.edu/undergraduate/science/psychology/psychology-bs" TargetMode="External"/><Relationship Id="rId31" Type="http://schemas.openxmlformats.org/officeDocument/2006/relationships/hyperlink" Target="https://catalog.northeastern.edu/undergraduate/science/biology/biology-bs/" TargetMode="External"/><Relationship Id="rId4" Type="http://schemas.openxmlformats.org/officeDocument/2006/relationships/hyperlink" Target="https://catalog.northeastern.edu/undergraduate/computer-information-science/computer-science/bscs/" TargetMode="External"/><Relationship Id="rId9" Type="http://schemas.openxmlformats.org/officeDocument/2006/relationships/hyperlink" Target="https://catalog.northeastern.edu/undergraduate/computer-information-science/computer-science/bscs/" TargetMode="External"/><Relationship Id="rId14" Type="http://schemas.openxmlformats.org/officeDocument/2006/relationships/hyperlink" Target="https://catalog.northeastern.edu/undergraduate/social-sciences-humanities/economics/economics-mathematics-bs/" TargetMode="External"/><Relationship Id="rId22" Type="http://schemas.openxmlformats.org/officeDocument/2006/relationships/hyperlink" Target="https://catalog.northeastern.edu/undergraduate/science/psychology/psychology-bs" TargetMode="External"/><Relationship Id="rId27" Type="http://schemas.openxmlformats.org/officeDocument/2006/relationships/hyperlink" Target="https://catalog.northeastern.edu/undergraduate/science/biology/biology-bs/" TargetMode="External"/><Relationship Id="rId30" Type="http://schemas.openxmlformats.org/officeDocument/2006/relationships/hyperlink" Target="https://catalog.northeastern.edu/undergraduate/science/biology/biology-bs/" TargetMode="External"/><Relationship Id="rId35" Type="http://schemas.openxmlformats.org/officeDocument/2006/relationships/hyperlink" Target="https://catalog.northeastern.edu/undergraduate/science/biology/biology-mathematics-bs" TargetMode="External"/><Relationship Id="rId8" Type="http://schemas.openxmlformats.org/officeDocument/2006/relationships/hyperlink" Target="https://catalog.northeastern.edu/undergraduate/computer-information-science/computer-science/bscs/" TargetMode="External"/><Relationship Id="rId3" Type="http://schemas.openxmlformats.org/officeDocument/2006/relationships/hyperlink" Target="https://catalog.northeastern.edu/undergraduate/computer-information-science/computer-science/bscs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bulletins.nyu.edu/undergraduate/arts-science/programs/economics-ba/economics-ba.pdf" TargetMode="External"/><Relationship Id="rId18" Type="http://schemas.openxmlformats.org/officeDocument/2006/relationships/hyperlink" Target="https://bulletins.nyu.edu/courses/psych_ua/psych_ua.pdf" TargetMode="External"/><Relationship Id="rId26" Type="http://schemas.openxmlformats.org/officeDocument/2006/relationships/hyperlink" Target="https://courses.bio.nyu.edu/requirement/major-standard-track/required" TargetMode="External"/><Relationship Id="rId21" Type="http://schemas.openxmlformats.org/officeDocument/2006/relationships/hyperlink" Target="https://bulletins.nyu.edu/courses/psych_ua/psych_ua.pdf" TargetMode="External"/><Relationship Id="rId34" Type="http://schemas.openxmlformats.org/officeDocument/2006/relationships/hyperlink" Target="https://math.nyu.edu/media/math/filer_public/f8/eb/f8eb4d2e-81c8-4421-8f62-fc2683e63e64/csma_major_honors_check_sheet.pdf" TargetMode="External"/><Relationship Id="rId7" Type="http://schemas.openxmlformats.org/officeDocument/2006/relationships/hyperlink" Target="https://bulletins.nyu.edu/undergraduate/arts-science/programs/computer-science-ba/computer-science-ba.pdf" TargetMode="External"/><Relationship Id="rId12" Type="http://schemas.openxmlformats.org/officeDocument/2006/relationships/hyperlink" Target="https://bulletins.nyu.edu/undergraduate/arts-science/programs/economics-ba/economics-ba.pdf" TargetMode="External"/><Relationship Id="rId17" Type="http://schemas.openxmlformats.org/officeDocument/2006/relationships/hyperlink" Target="https://bulletins.nyu.edu/courses/psych_ua/psych_ua.pdf" TargetMode="External"/><Relationship Id="rId25" Type="http://schemas.openxmlformats.org/officeDocument/2006/relationships/hyperlink" Target="https://courses.bio.nyu.edu/requirement/major-standard-track/required" TargetMode="External"/><Relationship Id="rId33" Type="http://schemas.openxmlformats.org/officeDocument/2006/relationships/hyperlink" Target="https://math.nyu.edu/media/math/filer_public/f8/eb/f8eb4d2e-81c8-4421-8f62-fc2683e63e64/csma_major_honors_check_sheet.pdf" TargetMode="External"/><Relationship Id="rId38" Type="http://schemas.openxmlformats.org/officeDocument/2006/relationships/hyperlink" Target="https://math.nyu.edu/media/math/filer_public/32/54/32545937-adf4-4d3e-9592-b41a155c83fc/ecma_major_check_sheet_as_of_2014.pdf" TargetMode="External"/><Relationship Id="rId2" Type="http://schemas.openxmlformats.org/officeDocument/2006/relationships/hyperlink" Target="https://bulletins.nyu.edu/undergraduate/arts-science/programs/computer-science-ba/computer-science-ba.pdf" TargetMode="External"/><Relationship Id="rId16" Type="http://schemas.openxmlformats.org/officeDocument/2006/relationships/hyperlink" Target="https://bulletins.nyu.edu/courses/psych_ua/psych_ua.pdf" TargetMode="External"/><Relationship Id="rId20" Type="http://schemas.openxmlformats.org/officeDocument/2006/relationships/hyperlink" Target="https://bulletins.nyu.edu/courses/psych_ua/psych_ua.pdf" TargetMode="External"/><Relationship Id="rId29" Type="http://schemas.openxmlformats.org/officeDocument/2006/relationships/hyperlink" Target="https://www.tmdsas.com/course-listings/Schools/NYU_SU11-SU12.html" TargetMode="External"/><Relationship Id="rId1" Type="http://schemas.openxmlformats.org/officeDocument/2006/relationships/hyperlink" Target="https://bulletins.nyu.edu/undergraduate/arts-science/programs/computer-science-ba/computer-science-ba.pdf" TargetMode="External"/><Relationship Id="rId6" Type="http://schemas.openxmlformats.org/officeDocument/2006/relationships/hyperlink" Target="https://math.nyu.edu/media/math/filer_public/f8/eb/f8eb4d2e-81c8-4421-8f62-fc2683e63e64/csma_major_honors_check_sheet.pdf" TargetMode="External"/><Relationship Id="rId11" Type="http://schemas.openxmlformats.org/officeDocument/2006/relationships/hyperlink" Target="https://bulletins.nyu.edu/undergraduate/arts-science/programs/economics-ba/economics-ba.pdf" TargetMode="External"/><Relationship Id="rId24" Type="http://schemas.openxmlformats.org/officeDocument/2006/relationships/hyperlink" Target="https://courses.bio.nyu.edu/requirement/major-standard-track/required" TargetMode="External"/><Relationship Id="rId32" Type="http://schemas.openxmlformats.org/officeDocument/2006/relationships/hyperlink" Target="https://math.nyu.edu/media/math/filer_public/f8/eb/f8eb4d2e-81c8-4421-8f62-fc2683e63e64/csma_major_honors_check_sheet.pdf" TargetMode="External"/><Relationship Id="rId37" Type="http://schemas.openxmlformats.org/officeDocument/2006/relationships/hyperlink" Target="https://math.nyu.edu/media/math/filer_public/32/54/32545937-adf4-4d3e-9592-b41a155c83fc/ecma_major_check_sheet_as_of_2014.pdf" TargetMode="External"/><Relationship Id="rId5" Type="http://schemas.openxmlformats.org/officeDocument/2006/relationships/hyperlink" Target="https://bulletins.nyu.edu/undergraduate/arts-science/programs/computer-science-ba/computer-science-ba.pdf" TargetMode="External"/><Relationship Id="rId15" Type="http://schemas.openxmlformats.org/officeDocument/2006/relationships/hyperlink" Target="https://bulletins.nyu.edu/courses/psych_ua/psych_ua.pdf" TargetMode="External"/><Relationship Id="rId23" Type="http://schemas.openxmlformats.org/officeDocument/2006/relationships/hyperlink" Target="https://bulletins.nyu.edu/courses/psych_ua/psych_ua.pdf" TargetMode="External"/><Relationship Id="rId28" Type="http://schemas.openxmlformats.org/officeDocument/2006/relationships/hyperlink" Target="https://www.tmdsas.com/course-listings/Schools/NYU_SU11-SU12.html" TargetMode="External"/><Relationship Id="rId36" Type="http://schemas.openxmlformats.org/officeDocument/2006/relationships/hyperlink" Target="https://math.nyu.edu/media/math/filer_public/32/54/32545937-adf4-4d3e-9592-b41a155c83fc/ecma_major_check_sheet_as_of_2014.pdf" TargetMode="External"/><Relationship Id="rId10" Type="http://schemas.openxmlformats.org/officeDocument/2006/relationships/hyperlink" Target="https://bulletins.nyu.edu/undergraduate/arts-science/programs/economics-ba/economics-ba.pdf" TargetMode="External"/><Relationship Id="rId19" Type="http://schemas.openxmlformats.org/officeDocument/2006/relationships/hyperlink" Target="https://bulletins.nyu.edu/courses/psych_ua/psych_ua.pdf" TargetMode="External"/><Relationship Id="rId31" Type="http://schemas.openxmlformats.org/officeDocument/2006/relationships/hyperlink" Target="https://www.tmdsas.com/course-listings/Schools/NYU_SU11-SU12.html" TargetMode="External"/><Relationship Id="rId4" Type="http://schemas.openxmlformats.org/officeDocument/2006/relationships/hyperlink" Target="https://bulletins.nyu.edu/undergraduate/arts-science/programs/computer-science-ba/computer-science-ba.pdf" TargetMode="External"/><Relationship Id="rId9" Type="http://schemas.openxmlformats.org/officeDocument/2006/relationships/hyperlink" Target="https://bulletins.nyu.edu/undergraduate/arts-science/programs/economics-ba/economics-ba.pdf" TargetMode="External"/><Relationship Id="rId14" Type="http://schemas.openxmlformats.org/officeDocument/2006/relationships/hyperlink" Target="https://bulletins.nyu.edu/courses/psych_ua/psych_ua.pdf" TargetMode="External"/><Relationship Id="rId22" Type="http://schemas.openxmlformats.org/officeDocument/2006/relationships/hyperlink" Target="https://bulletins.nyu.edu/courses/psych_ua/psych_ua.pdf" TargetMode="External"/><Relationship Id="rId27" Type="http://schemas.openxmlformats.org/officeDocument/2006/relationships/hyperlink" Target="https://courses.bio.nyu.edu/requirement/minor-genetics" TargetMode="External"/><Relationship Id="rId30" Type="http://schemas.openxmlformats.org/officeDocument/2006/relationships/hyperlink" Target="https://www.tmdsas.com/course-listings/Schools/NYU_SU11-SU12.html" TargetMode="External"/><Relationship Id="rId35" Type="http://schemas.openxmlformats.org/officeDocument/2006/relationships/hyperlink" Target="https://math.nyu.edu/media/math/filer_public/f8/eb/f8eb4d2e-81c8-4421-8f62-fc2683e63e64/csma_major_honors_check_sheet.pdf" TargetMode="External"/><Relationship Id="rId8" Type="http://schemas.openxmlformats.org/officeDocument/2006/relationships/hyperlink" Target="https://bulletins.nyu.edu/undergraduate/arts-science/programs/economics-ba/economics-ba.pdf" TargetMode="External"/><Relationship Id="rId3" Type="http://schemas.openxmlformats.org/officeDocument/2006/relationships/hyperlink" Target="https://bulletins.nyu.edu/undergraduate/arts-science/programs/computer-science-ba/computer-science-b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Normal="100" workbookViewId="0"/>
  </sheetViews>
  <sheetFormatPr defaultColWidth="8.6640625" defaultRowHeight="14.4" x14ac:dyDescent="0.3"/>
  <cols>
    <col min="1" max="1" width="26" customWidth="1"/>
    <col min="2" max="2" width="100" customWidth="1"/>
  </cols>
  <sheetData>
    <row r="1" spans="1:2" ht="21" x14ac:dyDescent="0.3">
      <c r="A1" s="2" t="s">
        <v>0</v>
      </c>
      <c r="B1" s="3"/>
    </row>
    <row r="2" spans="1:2" ht="26.4" x14ac:dyDescent="0.3">
      <c r="A2" s="4" t="s">
        <v>1</v>
      </c>
      <c r="B2" s="3" t="s">
        <v>2</v>
      </c>
    </row>
    <row r="3" spans="1:2" ht="26.4" x14ac:dyDescent="0.3">
      <c r="A3" s="4" t="s">
        <v>3</v>
      </c>
      <c r="B3" s="3" t="s">
        <v>4</v>
      </c>
    </row>
    <row r="4" spans="1:2" ht="26.4" x14ac:dyDescent="0.3">
      <c r="A4" s="4" t="s">
        <v>5</v>
      </c>
      <c r="B4" s="3" t="s">
        <v>6</v>
      </c>
    </row>
    <row r="5" spans="1:2" ht="26.4" x14ac:dyDescent="0.3">
      <c r="A5" s="4" t="s">
        <v>7</v>
      </c>
      <c r="B5" s="3" t="s">
        <v>8</v>
      </c>
    </row>
    <row r="6" spans="1:2" x14ac:dyDescent="0.3">
      <c r="A6" s="4" t="s">
        <v>9</v>
      </c>
      <c r="B6" s="3"/>
    </row>
    <row r="7" spans="1:2" x14ac:dyDescent="0.3">
      <c r="A7" s="5" t="s">
        <v>10</v>
      </c>
      <c r="B7" s="3" t="s">
        <v>11</v>
      </c>
    </row>
    <row r="8" spans="1:2" x14ac:dyDescent="0.3">
      <c r="A8" s="5" t="s">
        <v>12</v>
      </c>
      <c r="B8" s="3" t="s">
        <v>13</v>
      </c>
    </row>
    <row r="9" spans="1:2" ht="26.4" x14ac:dyDescent="0.3">
      <c r="A9" s="5" t="s">
        <v>14</v>
      </c>
      <c r="B9" s="3" t="s">
        <v>15</v>
      </c>
    </row>
    <row r="10" spans="1:2" x14ac:dyDescent="0.3">
      <c r="A10" s="5" t="s">
        <v>16</v>
      </c>
      <c r="B10" s="3" t="s">
        <v>17</v>
      </c>
    </row>
    <row r="11" spans="1:2" x14ac:dyDescent="0.3">
      <c r="A11" s="5" t="s">
        <v>18</v>
      </c>
      <c r="B11" s="3" t="s">
        <v>19</v>
      </c>
    </row>
    <row r="12" spans="1:2" x14ac:dyDescent="0.3">
      <c r="A12" s="4" t="s">
        <v>20</v>
      </c>
      <c r="B12" s="3"/>
    </row>
    <row r="13" spans="1:2" x14ac:dyDescent="0.3">
      <c r="A13" s="6" t="s">
        <v>21</v>
      </c>
      <c r="B13" s="3" t="s">
        <v>22</v>
      </c>
    </row>
    <row r="14" spans="1:2" x14ac:dyDescent="0.3">
      <c r="A14" s="7" t="s">
        <v>23</v>
      </c>
      <c r="B14" s="3" t="s">
        <v>24</v>
      </c>
    </row>
    <row r="15" spans="1:2" x14ac:dyDescent="0.3">
      <c r="A15" s="8" t="s">
        <v>25</v>
      </c>
      <c r="B15" s="3" t="s">
        <v>26</v>
      </c>
    </row>
    <row r="16" spans="1:2" x14ac:dyDescent="0.3">
      <c r="A16" s="9" t="s">
        <v>27</v>
      </c>
      <c r="B16" s="3" t="s">
        <v>28</v>
      </c>
    </row>
    <row r="17" spans="1:2" ht="26.4" x14ac:dyDescent="0.3">
      <c r="A17" s="4" t="s">
        <v>29</v>
      </c>
      <c r="B17" s="3" t="s">
        <v>30</v>
      </c>
    </row>
    <row r="18" spans="1:2" x14ac:dyDescent="0.3">
      <c r="A18" s="4" t="s">
        <v>31</v>
      </c>
      <c r="B18" s="3" t="s">
        <v>32</v>
      </c>
    </row>
    <row r="19" spans="1:2" ht="26.4" x14ac:dyDescent="0.3">
      <c r="A19" s="4" t="s">
        <v>33</v>
      </c>
      <c r="B19" s="3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60" customWidth="1"/>
  </cols>
  <sheetData>
    <row r="1" spans="1:2" ht="17.399999999999999" x14ac:dyDescent="0.3">
      <c r="A1" s="10" t="s">
        <v>35</v>
      </c>
    </row>
    <row r="2" spans="1:2" x14ac:dyDescent="0.3">
      <c r="A2" s="11" t="s">
        <v>36</v>
      </c>
    </row>
    <row r="4" spans="1:2" x14ac:dyDescent="0.3">
      <c r="A4" s="12" t="s">
        <v>37</v>
      </c>
      <c r="B4" s="13" t="s">
        <v>38</v>
      </c>
    </row>
    <row r="5" spans="1:2" x14ac:dyDescent="0.3">
      <c r="A5" s="12" t="s">
        <v>39</v>
      </c>
      <c r="B5" s="13" t="s">
        <v>40</v>
      </c>
    </row>
    <row r="7" spans="1:2" ht="15.6" x14ac:dyDescent="0.3">
      <c r="A7" s="14" t="s">
        <v>41</v>
      </c>
    </row>
    <row r="8" spans="1:2" x14ac:dyDescent="0.3">
      <c r="A8" s="12" t="s">
        <v>42</v>
      </c>
      <c r="B8" s="15" t="str">
        <f>IFERROR(IF($B$4="NYU",INDEX('NYU Courses'!$B$2:$B$39,MATCH($B$5,NYU_Codes,0)),INDEX('Northeastern Courses'!$B$2:$B$39,MATCH($B$5,NU_Codes,0))),"Code not found")</f>
        <v>Algorithms and Data</v>
      </c>
    </row>
    <row r="9" spans="1:2" x14ac:dyDescent="0.3">
      <c r="A9" s="12" t="s">
        <v>43</v>
      </c>
      <c r="B9" s="15" t="str">
        <f>IFERROR(IF($B$4="NYU",INDEX('Course Match'!$A$2:$A$42,MATCH($B$5,'Course Match'!$I$2:$I$42,0)),INDEX('Course Match'!$A$2:$A$42,MATCH($B$5,'Course Match'!$E$2:$E$42,0))),"No BU match on file - send syllabus for review")</f>
        <v>CAS CS 330</v>
      </c>
    </row>
    <row r="10" spans="1:2" x14ac:dyDescent="0.3">
      <c r="A10" s="12" t="s">
        <v>44</v>
      </c>
      <c r="B10" s="15" t="str">
        <f>IFERROR(INDEX('BU Courses'!$B$2:$B$42,MATCH(B9,'BU Courses'!$A$2:$A$42,0)),"—")</f>
        <v>Introduction to the Analysis of Algorithms</v>
      </c>
    </row>
    <row r="11" spans="1:2" x14ac:dyDescent="0.3">
      <c r="A11" s="12" t="s">
        <v>45</v>
      </c>
      <c r="B11" s="15" t="str">
        <f>IFERROR(IF($B$4="NYU",INDEX('Course Match'!$L$2:$L$42,MATCH($B$5,'Course Match'!$I$2:$I$42,0)),INDEX('Course Match'!$H$2:$H$42,MATCH($B$5,'Course Match'!$E$2:$E$42,0))),"—")</f>
        <v>Likely equivalent</v>
      </c>
    </row>
    <row r="12" spans="1:2" x14ac:dyDescent="0.3">
      <c r="A12" s="12" t="s">
        <v>46</v>
      </c>
      <c r="B12" s="15" t="str">
        <f>IFERROR(IF($B$4="NYU",INDEX('Course Match'!$M$2:$M$42,MATCH($B$5,'Course Match'!$I$2:$I$42,0)),INDEX('Course Match'!$M$2:$M$42,MATCH($B$5,'Course Match'!$E$2:$E$42,0))),"No BU match on file - send syllabus for review")</f>
        <v>Algorithms.</v>
      </c>
    </row>
    <row r="14" spans="1:2" ht="15" customHeight="1" x14ac:dyDescent="0.3">
      <c r="A14" s="1" t="s">
        <v>47</v>
      </c>
      <c r="B14" s="1"/>
    </row>
    <row r="15" spans="1:2" x14ac:dyDescent="0.3">
      <c r="A15" s="1"/>
      <c r="B15" s="1"/>
    </row>
  </sheetData>
  <mergeCells count="1">
    <mergeCell ref="A14:B15"/>
  </mergeCells>
  <conditionalFormatting sqref="B11">
    <cfRule type="cellIs" dxfId="14" priority="2" operator="equal">
      <formula>"Likely equivalent"</formula>
    </cfRule>
    <cfRule type="cellIs" dxfId="13" priority="3" operator="equal">
      <formula>"Partial - syllabus review"</formula>
    </cfRule>
    <cfRule type="cellIs" dxfId="12" priority="4" operator="equal">
      <formula>"No equivalent found"</formula>
    </cfRule>
    <cfRule type="cellIs" dxfId="11" priority="5" operator="equal">
      <formula>"Must be taken at BU"</formula>
    </cfRule>
  </conditionalFormatting>
  <dataValidations count="2">
    <dataValidation type="list" sqref="B4" xr:uid="{00000000-0002-0000-0100-000000000000}">
      <formula1>"Northeastern,NYU"</formula1>
      <formula2>0</formula2>
    </dataValidation>
    <dataValidation type="list" sqref="B5" xr:uid="{00000000-0002-0000-0100-000001000000}">
      <formula1>INDIRECT(IF($B$4="NYU","NYU_Codes","NU_Codes"))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24" customWidth="1"/>
    <col min="3" max="3" width="20" customWidth="1"/>
    <col min="4" max="4" width="9" customWidth="1"/>
    <col min="5" max="5" width="36" customWidth="1"/>
    <col min="6" max="6" width="30" customWidth="1"/>
    <col min="7" max="7" width="26" customWidth="1"/>
    <col min="8" max="8" width="24" customWidth="1"/>
    <col min="9" max="9" width="9" customWidth="1"/>
    <col min="10" max="10" width="34" customWidth="1"/>
    <col min="11" max="11" width="30" customWidth="1"/>
    <col min="12" max="12" width="24" customWidth="1"/>
    <col min="13" max="13" width="20" customWidth="1"/>
    <col min="14" max="14" width="10" customWidth="1"/>
    <col min="15" max="16" width="30" customWidth="1"/>
    <col min="17" max="17" width="11" customWidth="1"/>
    <col min="18" max="18" width="40" customWidth="1"/>
  </cols>
  <sheetData>
    <row r="1" spans="1:18" ht="31.5" customHeight="1" x14ac:dyDescent="0.3">
      <c r="A1" s="16" t="s">
        <v>48</v>
      </c>
      <c r="B1" s="16" t="s">
        <v>49</v>
      </c>
      <c r="C1" s="16" t="s">
        <v>50</v>
      </c>
      <c r="D1" s="16" t="s">
        <v>51</v>
      </c>
      <c r="E1" s="16" t="s">
        <v>52</v>
      </c>
      <c r="F1" s="16" t="s">
        <v>53</v>
      </c>
      <c r="G1" s="16" t="s">
        <v>54</v>
      </c>
      <c r="H1" s="16" t="s">
        <v>55</v>
      </c>
      <c r="I1" s="16" t="s">
        <v>56</v>
      </c>
      <c r="J1" s="16" t="s">
        <v>57</v>
      </c>
      <c r="K1" s="16" t="s">
        <v>58</v>
      </c>
      <c r="L1" s="16" t="s">
        <v>59</v>
      </c>
      <c r="M1" s="16" t="s">
        <v>60</v>
      </c>
      <c r="N1" s="16" t="s">
        <v>61</v>
      </c>
      <c r="O1" s="16" t="s">
        <v>62</v>
      </c>
      <c r="P1" s="16" t="s">
        <v>63</v>
      </c>
      <c r="Q1" s="16" t="s">
        <v>64</v>
      </c>
      <c r="R1" s="16" t="s">
        <v>46</v>
      </c>
    </row>
    <row r="2" spans="1:18" ht="66" x14ac:dyDescent="0.3">
      <c r="A2" s="15" t="s">
        <v>65</v>
      </c>
      <c r="B2" s="15" t="s">
        <v>66</v>
      </c>
      <c r="C2" s="15" t="s">
        <v>67</v>
      </c>
      <c r="D2" s="15" t="s">
        <v>68</v>
      </c>
      <c r="E2" s="15" t="s">
        <v>69</v>
      </c>
      <c r="F2" s="17" t="s">
        <v>70</v>
      </c>
      <c r="G2" s="15" t="s">
        <v>71</v>
      </c>
      <c r="H2" s="15" t="s">
        <v>72</v>
      </c>
      <c r="I2" s="15" t="s">
        <v>73</v>
      </c>
      <c r="J2" s="15" t="s">
        <v>74</v>
      </c>
      <c r="K2" s="17" t="s">
        <v>75</v>
      </c>
      <c r="L2" s="15" t="s">
        <v>76</v>
      </c>
      <c r="M2" s="15" t="s">
        <v>77</v>
      </c>
      <c r="N2" s="15" t="s">
        <v>68</v>
      </c>
      <c r="O2" s="15" t="s">
        <v>78</v>
      </c>
      <c r="P2" s="17" t="s">
        <v>79</v>
      </c>
      <c r="Q2" s="15" t="s">
        <v>80</v>
      </c>
      <c r="R2" s="15" t="s">
        <v>81</v>
      </c>
    </row>
    <row r="3" spans="1:18" ht="52.8" x14ac:dyDescent="0.3">
      <c r="A3" s="15" t="s">
        <v>82</v>
      </c>
      <c r="B3" s="15" t="s">
        <v>83</v>
      </c>
      <c r="C3" s="15" t="s">
        <v>67</v>
      </c>
      <c r="D3" s="15" t="s">
        <v>68</v>
      </c>
      <c r="E3" s="15" t="s">
        <v>84</v>
      </c>
      <c r="F3" s="17" t="s">
        <v>85</v>
      </c>
      <c r="G3" s="15" t="s">
        <v>86</v>
      </c>
      <c r="H3" s="15" t="s">
        <v>87</v>
      </c>
      <c r="I3" s="15" t="s">
        <v>73</v>
      </c>
      <c r="J3" s="15" t="s">
        <v>88</v>
      </c>
      <c r="K3" s="17" t="s">
        <v>89</v>
      </c>
      <c r="L3" s="15" t="s">
        <v>90</v>
      </c>
      <c r="M3" s="15" t="s">
        <v>77</v>
      </c>
      <c r="N3" s="15" t="s">
        <v>68</v>
      </c>
      <c r="O3" s="15" t="s">
        <v>91</v>
      </c>
      <c r="P3" s="17" t="s">
        <v>92</v>
      </c>
      <c r="Q3" s="15" t="s">
        <v>80</v>
      </c>
      <c r="R3" s="15" t="s">
        <v>93</v>
      </c>
    </row>
    <row r="4" spans="1:18" ht="39.6" x14ac:dyDescent="0.3">
      <c r="A4" s="15" t="s">
        <v>94</v>
      </c>
      <c r="B4" s="15" t="s">
        <v>95</v>
      </c>
      <c r="C4" s="15" t="s">
        <v>67</v>
      </c>
      <c r="D4" s="15" t="s">
        <v>68</v>
      </c>
      <c r="E4" s="15" t="s">
        <v>96</v>
      </c>
      <c r="F4" s="17" t="s">
        <v>97</v>
      </c>
      <c r="G4" s="15" t="s">
        <v>98</v>
      </c>
      <c r="H4" s="15" t="s">
        <v>99</v>
      </c>
      <c r="I4" s="15" t="s">
        <v>73</v>
      </c>
      <c r="J4" s="15" t="s">
        <v>100</v>
      </c>
      <c r="K4" s="17" t="s">
        <v>101</v>
      </c>
      <c r="L4" s="15" t="s">
        <v>102</v>
      </c>
      <c r="M4" s="15" t="s">
        <v>77</v>
      </c>
      <c r="N4" s="15" t="s">
        <v>68</v>
      </c>
      <c r="O4" s="15" t="s">
        <v>103</v>
      </c>
      <c r="P4" s="17" t="s">
        <v>104</v>
      </c>
      <c r="Q4" s="15" t="s">
        <v>105</v>
      </c>
      <c r="R4" s="15" t="s">
        <v>106</v>
      </c>
    </row>
    <row r="5" spans="1:18" ht="39.6" x14ac:dyDescent="0.3">
      <c r="A5" s="15" t="s">
        <v>107</v>
      </c>
      <c r="B5" s="15" t="s">
        <v>108</v>
      </c>
      <c r="C5" s="15" t="s">
        <v>67</v>
      </c>
      <c r="D5" s="15" t="s">
        <v>68</v>
      </c>
      <c r="E5" s="15" t="s">
        <v>109</v>
      </c>
      <c r="F5" s="17" t="s">
        <v>110</v>
      </c>
      <c r="G5" s="15" t="s">
        <v>111</v>
      </c>
      <c r="H5" s="15" t="s">
        <v>99</v>
      </c>
      <c r="I5" s="15" t="s">
        <v>73</v>
      </c>
      <c r="J5" s="15" t="s">
        <v>112</v>
      </c>
      <c r="K5" s="17" t="s">
        <v>113</v>
      </c>
      <c r="L5" s="15" t="s">
        <v>114</v>
      </c>
      <c r="M5" s="15" t="s">
        <v>77</v>
      </c>
      <c r="N5" s="15" t="s">
        <v>115</v>
      </c>
      <c r="O5" s="15" t="s">
        <v>116</v>
      </c>
      <c r="P5" s="17" t="s">
        <v>117</v>
      </c>
      <c r="Q5" s="15" t="s">
        <v>105</v>
      </c>
      <c r="R5" s="15" t="s">
        <v>118</v>
      </c>
    </row>
    <row r="6" spans="1:18" ht="66" x14ac:dyDescent="0.3">
      <c r="A6" s="15" t="s">
        <v>119</v>
      </c>
      <c r="B6" s="15" t="s">
        <v>120</v>
      </c>
      <c r="C6" s="15" t="s">
        <v>67</v>
      </c>
      <c r="D6" s="15" t="s">
        <v>68</v>
      </c>
      <c r="E6" s="15" t="s">
        <v>121</v>
      </c>
      <c r="F6" s="17" t="s">
        <v>122</v>
      </c>
      <c r="G6" s="15" t="s">
        <v>123</v>
      </c>
      <c r="H6" s="15" t="s">
        <v>99</v>
      </c>
      <c r="I6" s="15" t="s">
        <v>73</v>
      </c>
      <c r="J6" s="15" t="s">
        <v>124</v>
      </c>
      <c r="K6" s="17" t="s">
        <v>125</v>
      </c>
      <c r="L6" s="15" t="s">
        <v>119</v>
      </c>
      <c r="M6" s="15" t="s">
        <v>77</v>
      </c>
      <c r="N6" s="15" t="s">
        <v>68</v>
      </c>
      <c r="O6" s="15" t="s">
        <v>126</v>
      </c>
      <c r="P6" s="17" t="s">
        <v>127</v>
      </c>
      <c r="Q6" s="15" t="s">
        <v>80</v>
      </c>
      <c r="R6" s="15" t="s">
        <v>128</v>
      </c>
    </row>
  </sheetData>
  <autoFilter ref="A1:R6" xr:uid="{00000000-0009-0000-0000-000002000000}"/>
  <hyperlinks>
    <hyperlink ref="F2" r:id="rId1" xr:uid="{00000000-0004-0000-0200-000000000000}"/>
    <hyperlink ref="K2" r:id="rId2" xr:uid="{00000000-0004-0000-0200-000001000000}"/>
    <hyperlink ref="P2" r:id="rId3" xr:uid="{00000000-0004-0000-0200-000002000000}"/>
    <hyperlink ref="F3" r:id="rId4" xr:uid="{00000000-0004-0000-0200-000003000000}"/>
    <hyperlink ref="K3" r:id="rId5" xr:uid="{00000000-0004-0000-0200-000004000000}"/>
    <hyperlink ref="P3" r:id="rId6" xr:uid="{00000000-0004-0000-0200-000005000000}"/>
    <hyperlink ref="F4" r:id="rId7" xr:uid="{00000000-0004-0000-0200-000006000000}"/>
    <hyperlink ref="K4" r:id="rId8" xr:uid="{00000000-0004-0000-0200-000007000000}"/>
    <hyperlink ref="P4" r:id="rId9" xr:uid="{00000000-0004-0000-0200-000008000000}"/>
    <hyperlink ref="F5" r:id="rId10" xr:uid="{00000000-0004-0000-0200-000009000000}"/>
    <hyperlink ref="K5" r:id="rId11" xr:uid="{00000000-0004-0000-0200-00000A000000}"/>
    <hyperlink ref="P5" r:id="rId12" xr:uid="{00000000-0004-0000-0200-00000B000000}"/>
    <hyperlink ref="F6" r:id="rId13" xr:uid="{00000000-0004-0000-0200-00000C000000}"/>
    <hyperlink ref="K6" r:id="rId14" xr:uid="{00000000-0004-0000-0200-00000D000000}"/>
    <hyperlink ref="P6" r:id="rId15" xr:uid="{00000000-0004-0000-0200-00000E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44" customWidth="1"/>
    <col min="3" max="3" width="17" customWidth="1"/>
    <col min="4" max="4" width="22" customWidth="1"/>
    <col min="5" max="5" width="9" customWidth="1"/>
    <col min="6" max="6" width="10" customWidth="1"/>
    <col min="7" max="7" width="44" customWidth="1"/>
    <col min="8" max="8" width="48" customWidth="1"/>
  </cols>
  <sheetData>
    <row r="1" spans="1:8" ht="31.5" customHeight="1" x14ac:dyDescent="0.3">
      <c r="A1" s="16" t="s">
        <v>39</v>
      </c>
      <c r="B1" s="16" t="s">
        <v>42</v>
      </c>
      <c r="C1" s="16" t="s">
        <v>129</v>
      </c>
      <c r="D1" s="16" t="s">
        <v>130</v>
      </c>
      <c r="E1" s="16" t="s">
        <v>31</v>
      </c>
      <c r="F1" s="16" t="s">
        <v>131</v>
      </c>
      <c r="G1" s="16" t="s">
        <v>46</v>
      </c>
      <c r="H1" s="16" t="s">
        <v>132</v>
      </c>
    </row>
    <row r="2" spans="1:8" ht="26.4" x14ac:dyDescent="0.3">
      <c r="A2" s="15" t="s">
        <v>133</v>
      </c>
      <c r="B2" s="15" t="s">
        <v>134</v>
      </c>
      <c r="C2" s="15" t="s">
        <v>65</v>
      </c>
      <c r="D2" s="15" t="s">
        <v>135</v>
      </c>
      <c r="E2" s="18">
        <v>4</v>
      </c>
      <c r="F2" s="18" t="s">
        <v>136</v>
      </c>
      <c r="G2" s="15"/>
      <c r="H2" s="17" t="s">
        <v>70</v>
      </c>
    </row>
    <row r="3" spans="1:8" ht="26.4" x14ac:dyDescent="0.3">
      <c r="A3" s="15" t="s">
        <v>137</v>
      </c>
      <c r="B3" s="15" t="s">
        <v>138</v>
      </c>
      <c r="C3" s="15" t="s">
        <v>65</v>
      </c>
      <c r="D3" s="15" t="s">
        <v>135</v>
      </c>
      <c r="E3" s="18">
        <v>4</v>
      </c>
      <c r="F3" s="18" t="s">
        <v>136</v>
      </c>
      <c r="G3" s="15"/>
      <c r="H3" s="17" t="s">
        <v>70</v>
      </c>
    </row>
    <row r="4" spans="1:8" ht="26.4" x14ac:dyDescent="0.3">
      <c r="A4" s="15" t="s">
        <v>139</v>
      </c>
      <c r="B4" s="15" t="s">
        <v>140</v>
      </c>
      <c r="C4" s="15" t="s">
        <v>65</v>
      </c>
      <c r="D4" s="15" t="s">
        <v>135</v>
      </c>
      <c r="E4" s="18">
        <v>4</v>
      </c>
      <c r="F4" s="18" t="s">
        <v>136</v>
      </c>
      <c r="G4" s="15"/>
      <c r="H4" s="17" t="s">
        <v>70</v>
      </c>
    </row>
    <row r="5" spans="1:8" ht="26.4" x14ac:dyDescent="0.3">
      <c r="A5" s="15" t="s">
        <v>141</v>
      </c>
      <c r="B5" s="15" t="s">
        <v>142</v>
      </c>
      <c r="C5" s="15" t="s">
        <v>65</v>
      </c>
      <c r="D5" s="15" t="s">
        <v>135</v>
      </c>
      <c r="E5" s="18">
        <v>4</v>
      </c>
      <c r="F5" s="18" t="s">
        <v>136</v>
      </c>
      <c r="G5" s="15"/>
      <c r="H5" s="17" t="s">
        <v>70</v>
      </c>
    </row>
    <row r="6" spans="1:8" ht="26.4" x14ac:dyDescent="0.3">
      <c r="A6" s="15" t="s">
        <v>143</v>
      </c>
      <c r="B6" s="15" t="s">
        <v>144</v>
      </c>
      <c r="C6" s="15" t="s">
        <v>65</v>
      </c>
      <c r="D6" s="15" t="s">
        <v>135</v>
      </c>
      <c r="E6" s="18">
        <v>4</v>
      </c>
      <c r="F6" s="18" t="s">
        <v>136</v>
      </c>
      <c r="G6" s="15"/>
      <c r="H6" s="17" t="s">
        <v>70</v>
      </c>
    </row>
    <row r="7" spans="1:8" ht="26.4" x14ac:dyDescent="0.3">
      <c r="A7" s="15" t="s">
        <v>145</v>
      </c>
      <c r="B7" s="15" t="s">
        <v>146</v>
      </c>
      <c r="C7" s="15" t="s">
        <v>65</v>
      </c>
      <c r="D7" s="15" t="s">
        <v>147</v>
      </c>
      <c r="E7" s="18">
        <v>4</v>
      </c>
      <c r="F7" s="18" t="s">
        <v>136</v>
      </c>
      <c r="G7" s="15" t="s">
        <v>148</v>
      </c>
      <c r="H7" s="17" t="s">
        <v>70</v>
      </c>
    </row>
    <row r="8" spans="1:8" ht="26.4" x14ac:dyDescent="0.3">
      <c r="A8" s="15" t="s">
        <v>149</v>
      </c>
      <c r="B8" s="15" t="s">
        <v>150</v>
      </c>
      <c r="C8" s="15" t="s">
        <v>65</v>
      </c>
      <c r="D8" s="15" t="s">
        <v>147</v>
      </c>
      <c r="E8" s="18">
        <v>4</v>
      </c>
      <c r="F8" s="18" t="s">
        <v>136</v>
      </c>
      <c r="G8" s="15" t="s">
        <v>151</v>
      </c>
      <c r="H8" s="17" t="s">
        <v>70</v>
      </c>
    </row>
    <row r="9" spans="1:8" ht="26.4" x14ac:dyDescent="0.3">
      <c r="A9" s="15" t="s">
        <v>152</v>
      </c>
      <c r="B9" s="15" t="s">
        <v>153</v>
      </c>
      <c r="C9" s="15" t="s">
        <v>65</v>
      </c>
      <c r="D9" s="15" t="s">
        <v>147</v>
      </c>
      <c r="E9" s="18">
        <v>4</v>
      </c>
      <c r="F9" s="18" t="s">
        <v>136</v>
      </c>
      <c r="G9" s="15" t="s">
        <v>154</v>
      </c>
      <c r="H9" s="17" t="s">
        <v>70</v>
      </c>
    </row>
    <row r="10" spans="1:8" ht="26.4" x14ac:dyDescent="0.3">
      <c r="A10" s="15" t="s">
        <v>155</v>
      </c>
      <c r="B10" s="15" t="s">
        <v>156</v>
      </c>
      <c r="C10" s="15" t="s">
        <v>65</v>
      </c>
      <c r="D10" s="15" t="s">
        <v>157</v>
      </c>
      <c r="E10" s="18">
        <v>4</v>
      </c>
      <c r="F10" s="18" t="s">
        <v>136</v>
      </c>
      <c r="G10" s="15" t="s">
        <v>158</v>
      </c>
      <c r="H10" s="17" t="s">
        <v>70</v>
      </c>
    </row>
    <row r="11" spans="1:8" ht="26.4" x14ac:dyDescent="0.3">
      <c r="A11" s="15" t="s">
        <v>159</v>
      </c>
      <c r="B11" s="15" t="s">
        <v>160</v>
      </c>
      <c r="C11" s="15" t="s">
        <v>65</v>
      </c>
      <c r="D11" s="15" t="s">
        <v>157</v>
      </c>
      <c r="E11" s="18">
        <v>4</v>
      </c>
      <c r="F11" s="18" t="s">
        <v>136</v>
      </c>
      <c r="G11" s="15" t="s">
        <v>158</v>
      </c>
      <c r="H11" s="17" t="s">
        <v>70</v>
      </c>
    </row>
    <row r="12" spans="1:8" ht="26.4" x14ac:dyDescent="0.3">
      <c r="A12" s="15" t="s">
        <v>161</v>
      </c>
      <c r="B12" s="15" t="s">
        <v>162</v>
      </c>
      <c r="C12" s="15" t="s">
        <v>65</v>
      </c>
      <c r="D12" s="15" t="s">
        <v>157</v>
      </c>
      <c r="E12" s="18">
        <v>4</v>
      </c>
      <c r="F12" s="18" t="s">
        <v>136</v>
      </c>
      <c r="G12" s="15" t="s">
        <v>158</v>
      </c>
      <c r="H12" s="17" t="s">
        <v>70</v>
      </c>
    </row>
    <row r="13" spans="1:8" ht="26.4" x14ac:dyDescent="0.3">
      <c r="A13" s="15" t="s">
        <v>163</v>
      </c>
      <c r="B13" s="15" t="s">
        <v>164</v>
      </c>
      <c r="C13" s="15" t="s">
        <v>82</v>
      </c>
      <c r="D13" s="15" t="s">
        <v>165</v>
      </c>
      <c r="E13" s="18">
        <v>4</v>
      </c>
      <c r="F13" s="18" t="s">
        <v>136</v>
      </c>
      <c r="G13" s="15"/>
      <c r="H13" s="17" t="s">
        <v>85</v>
      </c>
    </row>
    <row r="14" spans="1:8" ht="26.4" x14ac:dyDescent="0.3">
      <c r="A14" s="15" t="s">
        <v>166</v>
      </c>
      <c r="B14" s="15" t="s">
        <v>167</v>
      </c>
      <c r="C14" s="15" t="s">
        <v>82</v>
      </c>
      <c r="D14" s="15" t="s">
        <v>165</v>
      </c>
      <c r="E14" s="18">
        <v>4</v>
      </c>
      <c r="F14" s="18" t="s">
        <v>136</v>
      </c>
      <c r="G14" s="15"/>
      <c r="H14" s="17" t="s">
        <v>85</v>
      </c>
    </row>
    <row r="15" spans="1:8" ht="26.4" x14ac:dyDescent="0.3">
      <c r="A15" s="15" t="s">
        <v>168</v>
      </c>
      <c r="B15" s="15" t="s">
        <v>169</v>
      </c>
      <c r="C15" s="15" t="s">
        <v>82</v>
      </c>
      <c r="D15" s="15" t="s">
        <v>170</v>
      </c>
      <c r="E15" s="18">
        <v>4</v>
      </c>
      <c r="F15" s="18" t="s">
        <v>136</v>
      </c>
      <c r="G15" s="15" t="s">
        <v>171</v>
      </c>
      <c r="H15" s="17" t="s">
        <v>85</v>
      </c>
    </row>
    <row r="16" spans="1:8" ht="26.4" x14ac:dyDescent="0.3">
      <c r="A16" s="15" t="s">
        <v>172</v>
      </c>
      <c r="B16" s="15" t="s">
        <v>173</v>
      </c>
      <c r="C16" s="15" t="s">
        <v>82</v>
      </c>
      <c r="D16" s="15" t="s">
        <v>170</v>
      </c>
      <c r="E16" s="18">
        <v>4</v>
      </c>
      <c r="F16" s="18" t="s">
        <v>136</v>
      </c>
      <c r="G16" s="15" t="s">
        <v>171</v>
      </c>
      <c r="H16" s="17" t="s">
        <v>85</v>
      </c>
    </row>
    <row r="17" spans="1:8" ht="26.4" x14ac:dyDescent="0.3">
      <c r="A17" s="15" t="s">
        <v>174</v>
      </c>
      <c r="B17" s="15" t="s">
        <v>175</v>
      </c>
      <c r="C17" s="15" t="s">
        <v>82</v>
      </c>
      <c r="D17" s="15" t="s">
        <v>170</v>
      </c>
      <c r="E17" s="18">
        <v>4</v>
      </c>
      <c r="F17" s="18" t="s">
        <v>136</v>
      </c>
      <c r="G17" s="15" t="s">
        <v>176</v>
      </c>
      <c r="H17" s="17" t="s">
        <v>85</v>
      </c>
    </row>
    <row r="18" spans="1:8" ht="26.4" x14ac:dyDescent="0.3">
      <c r="A18" s="15" t="s">
        <v>177</v>
      </c>
      <c r="B18" s="15" t="s">
        <v>178</v>
      </c>
      <c r="C18" s="15" t="s">
        <v>82</v>
      </c>
      <c r="D18" s="15" t="s">
        <v>170</v>
      </c>
      <c r="E18" s="18">
        <v>4</v>
      </c>
      <c r="F18" s="18" t="s">
        <v>136</v>
      </c>
      <c r="G18" s="15"/>
      <c r="H18" s="17" t="s">
        <v>85</v>
      </c>
    </row>
    <row r="19" spans="1:8" ht="26.4" x14ac:dyDescent="0.3">
      <c r="A19" s="15" t="s">
        <v>179</v>
      </c>
      <c r="B19" s="15" t="s">
        <v>180</v>
      </c>
      <c r="C19" s="15" t="s">
        <v>94</v>
      </c>
      <c r="D19" s="15" t="s">
        <v>181</v>
      </c>
      <c r="E19" s="18">
        <v>4</v>
      </c>
      <c r="F19" s="18" t="s">
        <v>136</v>
      </c>
      <c r="G19" s="15"/>
      <c r="H19" s="17" t="s">
        <v>97</v>
      </c>
    </row>
    <row r="20" spans="1:8" ht="26.4" x14ac:dyDescent="0.3">
      <c r="A20" s="15" t="s">
        <v>182</v>
      </c>
      <c r="B20" s="15" t="s">
        <v>183</v>
      </c>
      <c r="C20" s="15" t="s">
        <v>94</v>
      </c>
      <c r="D20" s="15" t="s">
        <v>184</v>
      </c>
      <c r="E20" s="18">
        <v>4</v>
      </c>
      <c r="F20" s="18" t="s">
        <v>136</v>
      </c>
      <c r="G20" s="15" t="s">
        <v>185</v>
      </c>
      <c r="H20" s="17" t="s">
        <v>97</v>
      </c>
    </row>
    <row r="21" spans="1:8" ht="26.4" x14ac:dyDescent="0.3">
      <c r="A21" s="15" t="s">
        <v>186</v>
      </c>
      <c r="B21" s="15" t="s">
        <v>187</v>
      </c>
      <c r="C21" s="15" t="s">
        <v>94</v>
      </c>
      <c r="D21" s="15" t="s">
        <v>188</v>
      </c>
      <c r="E21" s="18">
        <v>4</v>
      </c>
      <c r="F21" s="18" t="s">
        <v>136</v>
      </c>
      <c r="G21" s="15"/>
      <c r="H21" s="17" t="s">
        <v>97</v>
      </c>
    </row>
    <row r="22" spans="1:8" ht="26.4" x14ac:dyDescent="0.3">
      <c r="A22" s="15" t="s">
        <v>189</v>
      </c>
      <c r="B22" s="15" t="s">
        <v>190</v>
      </c>
      <c r="C22" s="15" t="s">
        <v>94</v>
      </c>
      <c r="D22" s="15" t="s">
        <v>191</v>
      </c>
      <c r="E22" s="18">
        <v>4</v>
      </c>
      <c r="F22" s="18" t="s">
        <v>136</v>
      </c>
      <c r="G22" s="15"/>
      <c r="H22" s="17" t="s">
        <v>97</v>
      </c>
    </row>
    <row r="23" spans="1:8" ht="26.4" x14ac:dyDescent="0.3">
      <c r="A23" s="15" t="s">
        <v>192</v>
      </c>
      <c r="B23" s="15" t="s">
        <v>193</v>
      </c>
      <c r="C23" s="15" t="s">
        <v>94</v>
      </c>
      <c r="D23" s="15" t="s">
        <v>191</v>
      </c>
      <c r="E23" s="18">
        <v>4</v>
      </c>
      <c r="F23" s="18" t="s">
        <v>136</v>
      </c>
      <c r="G23" s="15"/>
      <c r="H23" s="17" t="s">
        <v>97</v>
      </c>
    </row>
    <row r="24" spans="1:8" ht="26.4" x14ac:dyDescent="0.3">
      <c r="A24" s="15" t="s">
        <v>194</v>
      </c>
      <c r="B24" s="15" t="s">
        <v>195</v>
      </c>
      <c r="C24" s="15" t="s">
        <v>94</v>
      </c>
      <c r="D24" s="15" t="s">
        <v>196</v>
      </c>
      <c r="E24" s="18">
        <v>4</v>
      </c>
      <c r="F24" s="18" t="s">
        <v>136</v>
      </c>
      <c r="G24" s="15"/>
      <c r="H24" s="17" t="s">
        <v>97</v>
      </c>
    </row>
    <row r="25" spans="1:8" ht="26.4" x14ac:dyDescent="0.3">
      <c r="A25" s="15" t="s">
        <v>197</v>
      </c>
      <c r="B25" s="15" t="s">
        <v>198</v>
      </c>
      <c r="C25" s="15" t="s">
        <v>94</v>
      </c>
      <c r="D25" s="15" t="s">
        <v>196</v>
      </c>
      <c r="E25" s="18">
        <v>4</v>
      </c>
      <c r="F25" s="18" t="s">
        <v>136</v>
      </c>
      <c r="G25" s="15"/>
      <c r="H25" s="17" t="s">
        <v>97</v>
      </c>
    </row>
    <row r="26" spans="1:8" ht="26.4" x14ac:dyDescent="0.3">
      <c r="A26" s="15" t="s">
        <v>199</v>
      </c>
      <c r="B26" s="15" t="s">
        <v>200</v>
      </c>
      <c r="C26" s="15" t="s">
        <v>94</v>
      </c>
      <c r="D26" s="15" t="s">
        <v>196</v>
      </c>
      <c r="E26" s="18">
        <v>4</v>
      </c>
      <c r="F26" s="18" t="s">
        <v>136</v>
      </c>
      <c r="G26" s="15"/>
      <c r="H26" s="17" t="s">
        <v>97</v>
      </c>
    </row>
    <row r="27" spans="1:8" ht="26.4" x14ac:dyDescent="0.3">
      <c r="A27" s="15" t="s">
        <v>201</v>
      </c>
      <c r="B27" s="15" t="s">
        <v>202</v>
      </c>
      <c r="C27" s="15" t="s">
        <v>94</v>
      </c>
      <c r="D27" s="15" t="s">
        <v>196</v>
      </c>
      <c r="E27" s="18">
        <v>4</v>
      </c>
      <c r="F27" s="18" t="s">
        <v>136</v>
      </c>
      <c r="G27" s="15" t="s">
        <v>203</v>
      </c>
      <c r="H27" s="17" t="s">
        <v>97</v>
      </c>
    </row>
    <row r="28" spans="1:8" x14ac:dyDescent="0.3">
      <c r="A28" s="15" t="s">
        <v>204</v>
      </c>
      <c r="B28" s="15" t="s">
        <v>205</v>
      </c>
      <c r="C28" s="15" t="s">
        <v>107</v>
      </c>
      <c r="D28" s="15" t="s">
        <v>165</v>
      </c>
      <c r="E28" s="18">
        <v>4</v>
      </c>
      <c r="F28" s="18" t="s">
        <v>136</v>
      </c>
      <c r="G28" s="15"/>
      <c r="H28" s="17" t="s">
        <v>110</v>
      </c>
    </row>
    <row r="29" spans="1:8" x14ac:dyDescent="0.3">
      <c r="A29" s="15" t="s">
        <v>206</v>
      </c>
      <c r="B29" s="15" t="s">
        <v>207</v>
      </c>
      <c r="C29" s="15" t="s">
        <v>107</v>
      </c>
      <c r="D29" s="15" t="s">
        <v>165</v>
      </c>
      <c r="E29" s="18">
        <v>4</v>
      </c>
      <c r="F29" s="18" t="s">
        <v>136</v>
      </c>
      <c r="G29" s="15"/>
      <c r="H29" s="17" t="s">
        <v>110</v>
      </c>
    </row>
    <row r="30" spans="1:8" ht="26.4" x14ac:dyDescent="0.3">
      <c r="A30" s="15" t="s">
        <v>208</v>
      </c>
      <c r="B30" s="15" t="s">
        <v>209</v>
      </c>
      <c r="C30" s="15" t="s">
        <v>107</v>
      </c>
      <c r="D30" s="15" t="s">
        <v>170</v>
      </c>
      <c r="E30" s="18">
        <v>4</v>
      </c>
      <c r="F30" s="18" t="s">
        <v>136</v>
      </c>
      <c r="G30" s="15"/>
      <c r="H30" s="17" t="s">
        <v>210</v>
      </c>
    </row>
    <row r="31" spans="1:8" ht="26.4" x14ac:dyDescent="0.3">
      <c r="A31" s="15" t="s">
        <v>211</v>
      </c>
      <c r="B31" s="15" t="s">
        <v>212</v>
      </c>
      <c r="C31" s="15" t="s">
        <v>107</v>
      </c>
      <c r="D31" s="15" t="s">
        <v>170</v>
      </c>
      <c r="E31" s="18">
        <v>4</v>
      </c>
      <c r="F31" s="18" t="s">
        <v>136</v>
      </c>
      <c r="G31" s="15"/>
      <c r="H31" s="17" t="s">
        <v>210</v>
      </c>
    </row>
    <row r="32" spans="1:8" ht="26.4" x14ac:dyDescent="0.3">
      <c r="A32" s="15" t="s">
        <v>213</v>
      </c>
      <c r="B32" s="15" t="s">
        <v>214</v>
      </c>
      <c r="C32" s="15" t="s">
        <v>107</v>
      </c>
      <c r="D32" s="15" t="s">
        <v>215</v>
      </c>
      <c r="E32" s="18">
        <v>4</v>
      </c>
      <c r="F32" s="18" t="s">
        <v>136</v>
      </c>
      <c r="G32" s="15"/>
      <c r="H32" s="17" t="s">
        <v>210</v>
      </c>
    </row>
    <row r="33" spans="1:8" ht="26.4" x14ac:dyDescent="0.3">
      <c r="A33" s="15" t="s">
        <v>216</v>
      </c>
      <c r="B33" s="15" t="s">
        <v>217</v>
      </c>
      <c r="C33" s="15" t="s">
        <v>107</v>
      </c>
      <c r="D33" s="15" t="s">
        <v>215</v>
      </c>
      <c r="E33" s="18">
        <v>4</v>
      </c>
      <c r="F33" s="18" t="s">
        <v>136</v>
      </c>
      <c r="G33" s="15"/>
      <c r="H33" s="17" t="s">
        <v>210</v>
      </c>
    </row>
    <row r="34" spans="1:8" ht="26.4" x14ac:dyDescent="0.3">
      <c r="A34" s="15" t="s">
        <v>218</v>
      </c>
      <c r="B34" s="15" t="s">
        <v>219</v>
      </c>
      <c r="C34" s="15" t="s">
        <v>107</v>
      </c>
      <c r="D34" s="15" t="s">
        <v>215</v>
      </c>
      <c r="E34" s="18">
        <v>4</v>
      </c>
      <c r="F34" s="18" t="s">
        <v>136</v>
      </c>
      <c r="G34" s="15"/>
      <c r="H34" s="17" t="s">
        <v>210</v>
      </c>
    </row>
    <row r="35" spans="1:8" ht="26.4" x14ac:dyDescent="0.3">
      <c r="A35" s="15" t="s">
        <v>220</v>
      </c>
      <c r="B35" s="15" t="s">
        <v>221</v>
      </c>
      <c r="C35" s="15" t="s">
        <v>107</v>
      </c>
      <c r="D35" s="15" t="s">
        <v>215</v>
      </c>
      <c r="E35" s="18">
        <v>4</v>
      </c>
      <c r="F35" s="18" t="s">
        <v>136</v>
      </c>
      <c r="G35" s="15"/>
      <c r="H35" s="17" t="s">
        <v>210</v>
      </c>
    </row>
    <row r="36" spans="1:8" x14ac:dyDescent="0.3">
      <c r="A36" s="15" t="s">
        <v>222</v>
      </c>
      <c r="B36" s="15" t="s">
        <v>223</v>
      </c>
      <c r="C36" s="15" t="s">
        <v>119</v>
      </c>
      <c r="D36" s="15" t="s">
        <v>224</v>
      </c>
      <c r="E36" s="18">
        <v>4</v>
      </c>
      <c r="F36" s="18" t="s">
        <v>136</v>
      </c>
      <c r="G36" s="15"/>
      <c r="H36" s="17" t="s">
        <v>122</v>
      </c>
    </row>
    <row r="37" spans="1:8" x14ac:dyDescent="0.3">
      <c r="A37" s="15" t="s">
        <v>225</v>
      </c>
      <c r="B37" s="15" t="s">
        <v>226</v>
      </c>
      <c r="C37" s="15" t="s">
        <v>119</v>
      </c>
      <c r="D37" s="15" t="s">
        <v>224</v>
      </c>
      <c r="E37" s="18">
        <v>4</v>
      </c>
      <c r="F37" s="18" t="s">
        <v>136</v>
      </c>
      <c r="G37" s="15"/>
      <c r="H37" s="17" t="s">
        <v>122</v>
      </c>
    </row>
    <row r="38" spans="1:8" x14ac:dyDescent="0.3">
      <c r="A38" s="15" t="s">
        <v>227</v>
      </c>
      <c r="B38" s="15" t="s">
        <v>228</v>
      </c>
      <c r="C38" s="15" t="s">
        <v>119</v>
      </c>
      <c r="D38" s="15" t="s">
        <v>224</v>
      </c>
      <c r="E38" s="18">
        <v>4</v>
      </c>
      <c r="F38" s="18" t="s">
        <v>136</v>
      </c>
      <c r="G38" s="15"/>
      <c r="H38" s="17" t="s">
        <v>122</v>
      </c>
    </row>
    <row r="39" spans="1:8" ht="26.4" x14ac:dyDescent="0.3">
      <c r="A39" s="15" t="s">
        <v>229</v>
      </c>
      <c r="B39" s="15" t="s">
        <v>230</v>
      </c>
      <c r="C39" s="15" t="s">
        <v>119</v>
      </c>
      <c r="D39" s="15" t="s">
        <v>224</v>
      </c>
      <c r="E39" s="18">
        <v>4</v>
      </c>
      <c r="F39" s="18" t="s">
        <v>136</v>
      </c>
      <c r="G39" s="15"/>
      <c r="H39" s="17" t="s">
        <v>231</v>
      </c>
    </row>
    <row r="40" spans="1:8" x14ac:dyDescent="0.3">
      <c r="A40" s="15" t="s">
        <v>232</v>
      </c>
      <c r="B40" s="15" t="s">
        <v>233</v>
      </c>
      <c r="C40" s="15" t="s">
        <v>119</v>
      </c>
      <c r="D40" s="15" t="s">
        <v>224</v>
      </c>
      <c r="E40" s="18">
        <v>4</v>
      </c>
      <c r="F40" s="18" t="s">
        <v>234</v>
      </c>
      <c r="G40" s="15" t="s">
        <v>235</v>
      </c>
      <c r="H40" s="17" t="s">
        <v>122</v>
      </c>
    </row>
    <row r="41" spans="1:8" ht="26.4" x14ac:dyDescent="0.3">
      <c r="A41" s="15" t="s">
        <v>236</v>
      </c>
      <c r="B41" s="15" t="s">
        <v>237</v>
      </c>
      <c r="C41" s="15" t="s">
        <v>119</v>
      </c>
      <c r="D41" s="15" t="s">
        <v>224</v>
      </c>
      <c r="E41" s="18">
        <v>4</v>
      </c>
      <c r="F41" s="18" t="s">
        <v>136</v>
      </c>
      <c r="G41" s="15"/>
      <c r="H41" s="17" t="s">
        <v>231</v>
      </c>
    </row>
    <row r="42" spans="1:8" ht="26.4" x14ac:dyDescent="0.3">
      <c r="A42" s="15" t="s">
        <v>238</v>
      </c>
      <c r="B42" s="15" t="s">
        <v>239</v>
      </c>
      <c r="C42" s="15" t="s">
        <v>119</v>
      </c>
      <c r="D42" s="15" t="s">
        <v>240</v>
      </c>
      <c r="E42" s="18">
        <v>4</v>
      </c>
      <c r="F42" s="18" t="s">
        <v>136</v>
      </c>
      <c r="G42" s="15"/>
      <c r="H42" s="17" t="s">
        <v>231</v>
      </c>
    </row>
  </sheetData>
  <autoFilter ref="A1:H42" xr:uid="{00000000-0009-0000-0000-000003000000}"/>
  <conditionalFormatting sqref="F2:F42">
    <cfRule type="cellIs" dxfId="10" priority="2" operator="equal">
      <formula>"Check"</formula>
    </cfRule>
  </conditionalFormatting>
  <hyperlinks>
    <hyperlink ref="H2" r:id="rId1" xr:uid="{00000000-0004-0000-0300-000000000000}"/>
    <hyperlink ref="H3" r:id="rId2" xr:uid="{00000000-0004-0000-0300-000001000000}"/>
    <hyperlink ref="H4" r:id="rId3" xr:uid="{00000000-0004-0000-0300-000002000000}"/>
    <hyperlink ref="H5" r:id="rId4" xr:uid="{00000000-0004-0000-0300-000003000000}"/>
    <hyperlink ref="H6" r:id="rId5" xr:uid="{00000000-0004-0000-0300-000004000000}"/>
    <hyperlink ref="H7" r:id="rId6" xr:uid="{00000000-0004-0000-0300-000005000000}"/>
    <hyperlink ref="H8" r:id="rId7" xr:uid="{00000000-0004-0000-0300-000006000000}"/>
    <hyperlink ref="H9" r:id="rId8" xr:uid="{00000000-0004-0000-0300-000007000000}"/>
    <hyperlink ref="H10" r:id="rId9" xr:uid="{00000000-0004-0000-0300-000008000000}"/>
    <hyperlink ref="H11" r:id="rId10" xr:uid="{00000000-0004-0000-0300-000009000000}"/>
    <hyperlink ref="H12" r:id="rId11" xr:uid="{00000000-0004-0000-0300-00000A000000}"/>
    <hyperlink ref="H13" r:id="rId12" xr:uid="{00000000-0004-0000-0300-00000B000000}"/>
    <hyperlink ref="H14" r:id="rId13" xr:uid="{00000000-0004-0000-0300-00000C000000}"/>
    <hyperlink ref="H15" r:id="rId14" xr:uid="{00000000-0004-0000-0300-00000D000000}"/>
    <hyperlink ref="H16" r:id="rId15" xr:uid="{00000000-0004-0000-0300-00000E000000}"/>
    <hyperlink ref="H17" r:id="rId16" xr:uid="{00000000-0004-0000-0300-00000F000000}"/>
    <hyperlink ref="H18" r:id="rId17" xr:uid="{00000000-0004-0000-0300-000010000000}"/>
    <hyperlink ref="H19" r:id="rId18" xr:uid="{00000000-0004-0000-0300-000011000000}"/>
    <hyperlink ref="H20" r:id="rId19" xr:uid="{00000000-0004-0000-0300-000012000000}"/>
    <hyperlink ref="H21" r:id="rId20" xr:uid="{00000000-0004-0000-0300-000013000000}"/>
    <hyperlink ref="H22" r:id="rId21" xr:uid="{00000000-0004-0000-0300-000014000000}"/>
    <hyperlink ref="H23" r:id="rId22" xr:uid="{00000000-0004-0000-0300-000015000000}"/>
    <hyperlink ref="H24" r:id="rId23" xr:uid="{00000000-0004-0000-0300-000016000000}"/>
    <hyperlink ref="H25" r:id="rId24" xr:uid="{00000000-0004-0000-0300-000017000000}"/>
    <hyperlink ref="H26" r:id="rId25" xr:uid="{00000000-0004-0000-0300-000018000000}"/>
    <hyperlink ref="H27" r:id="rId26" xr:uid="{00000000-0004-0000-0300-000019000000}"/>
    <hyperlink ref="H28" r:id="rId27" xr:uid="{00000000-0004-0000-0300-00001A000000}"/>
    <hyperlink ref="H29" r:id="rId28" xr:uid="{00000000-0004-0000-0300-00001B000000}"/>
    <hyperlink ref="H30" r:id="rId29" xr:uid="{00000000-0004-0000-0300-00001C000000}"/>
    <hyperlink ref="H31" r:id="rId30" xr:uid="{00000000-0004-0000-0300-00001D000000}"/>
    <hyperlink ref="H32" r:id="rId31" xr:uid="{00000000-0004-0000-0300-00001E000000}"/>
    <hyperlink ref="H33" r:id="rId32" xr:uid="{00000000-0004-0000-0300-00001F000000}"/>
    <hyperlink ref="H34" r:id="rId33" xr:uid="{00000000-0004-0000-0300-000020000000}"/>
    <hyperlink ref="H35" r:id="rId34" xr:uid="{00000000-0004-0000-0300-000021000000}"/>
    <hyperlink ref="H36" r:id="rId35" xr:uid="{00000000-0004-0000-0300-000022000000}"/>
    <hyperlink ref="H37" r:id="rId36" xr:uid="{00000000-0004-0000-0300-000023000000}"/>
    <hyperlink ref="H38" r:id="rId37" xr:uid="{00000000-0004-0000-0300-000024000000}"/>
    <hyperlink ref="H39" r:id="rId38" xr:uid="{00000000-0004-0000-0300-000025000000}"/>
    <hyperlink ref="H40" r:id="rId39" xr:uid="{00000000-0004-0000-0300-000026000000}"/>
    <hyperlink ref="H41" r:id="rId40" xr:uid="{00000000-0004-0000-0300-000027000000}"/>
    <hyperlink ref="H42" r:id="rId41" xr:uid="{00000000-0004-0000-0300-00002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44" customWidth="1"/>
    <col min="3" max="3" width="17" customWidth="1"/>
    <col min="4" max="4" width="22" customWidth="1"/>
    <col min="5" max="5" width="9" customWidth="1"/>
    <col min="6" max="6" width="10" customWidth="1"/>
    <col min="7" max="7" width="44" customWidth="1"/>
    <col min="8" max="8" width="48" customWidth="1"/>
  </cols>
  <sheetData>
    <row r="1" spans="1:8" ht="31.5" customHeight="1" x14ac:dyDescent="0.3">
      <c r="A1" s="16" t="s">
        <v>39</v>
      </c>
      <c r="B1" s="16" t="s">
        <v>42</v>
      </c>
      <c r="C1" s="16" t="s">
        <v>129</v>
      </c>
      <c r="D1" s="16" t="s">
        <v>130</v>
      </c>
      <c r="E1" s="16" t="s">
        <v>31</v>
      </c>
      <c r="F1" s="16" t="s">
        <v>131</v>
      </c>
      <c r="G1" s="16" t="s">
        <v>46</v>
      </c>
      <c r="H1" s="16" t="s">
        <v>132</v>
      </c>
    </row>
    <row r="2" spans="1:8" ht="26.4" x14ac:dyDescent="0.3">
      <c r="A2" s="15" t="s">
        <v>241</v>
      </c>
      <c r="B2" s="15" t="s">
        <v>242</v>
      </c>
      <c r="C2" s="15" t="s">
        <v>65</v>
      </c>
      <c r="D2" s="15" t="s">
        <v>243</v>
      </c>
      <c r="E2" s="18">
        <v>5</v>
      </c>
      <c r="F2" s="18" t="s">
        <v>136</v>
      </c>
      <c r="G2" s="15" t="s">
        <v>244</v>
      </c>
      <c r="H2" s="17" t="s">
        <v>75</v>
      </c>
    </row>
    <row r="3" spans="1:8" ht="26.4" x14ac:dyDescent="0.3">
      <c r="A3" s="15" t="s">
        <v>245</v>
      </c>
      <c r="B3" s="15" t="s">
        <v>246</v>
      </c>
      <c r="C3" s="15" t="s">
        <v>65</v>
      </c>
      <c r="D3" s="15" t="s">
        <v>243</v>
      </c>
      <c r="E3" s="18">
        <v>5</v>
      </c>
      <c r="F3" s="18" t="s">
        <v>136</v>
      </c>
      <c r="G3" s="15" t="s">
        <v>247</v>
      </c>
      <c r="H3" s="17" t="s">
        <v>75</v>
      </c>
    </row>
    <row r="4" spans="1:8" ht="26.4" x14ac:dyDescent="0.3">
      <c r="A4" s="15" t="s">
        <v>248</v>
      </c>
      <c r="B4" s="15" t="s">
        <v>249</v>
      </c>
      <c r="C4" s="15" t="s">
        <v>65</v>
      </c>
      <c r="D4" s="15" t="s">
        <v>250</v>
      </c>
      <c r="E4" s="18">
        <v>5</v>
      </c>
      <c r="F4" s="18" t="s">
        <v>136</v>
      </c>
      <c r="G4" s="15" t="s">
        <v>251</v>
      </c>
      <c r="H4" s="17" t="s">
        <v>75</v>
      </c>
    </row>
    <row r="5" spans="1:8" ht="26.4" x14ac:dyDescent="0.3">
      <c r="A5" s="15" t="s">
        <v>252</v>
      </c>
      <c r="B5" s="15" t="s">
        <v>253</v>
      </c>
      <c r="C5" s="15" t="s">
        <v>65</v>
      </c>
      <c r="D5" s="15" t="s">
        <v>243</v>
      </c>
      <c r="E5" s="18">
        <v>4</v>
      </c>
      <c r="F5" s="18" t="s">
        <v>136</v>
      </c>
      <c r="G5" s="15"/>
      <c r="H5" s="17" t="s">
        <v>75</v>
      </c>
    </row>
    <row r="6" spans="1:8" ht="26.4" x14ac:dyDescent="0.3">
      <c r="A6" s="15" t="s">
        <v>254</v>
      </c>
      <c r="B6" s="15" t="s">
        <v>255</v>
      </c>
      <c r="C6" s="15" t="s">
        <v>65</v>
      </c>
      <c r="D6" s="15" t="s">
        <v>250</v>
      </c>
      <c r="E6" s="18">
        <v>5</v>
      </c>
      <c r="F6" s="18" t="s">
        <v>136</v>
      </c>
      <c r="G6" s="15" t="s">
        <v>256</v>
      </c>
      <c r="H6" s="17" t="s">
        <v>75</v>
      </c>
    </row>
    <row r="7" spans="1:8" ht="26.4" x14ac:dyDescent="0.3">
      <c r="A7" s="15" t="s">
        <v>40</v>
      </c>
      <c r="B7" s="15" t="s">
        <v>257</v>
      </c>
      <c r="C7" s="15" t="s">
        <v>65</v>
      </c>
      <c r="D7" s="15" t="s">
        <v>250</v>
      </c>
      <c r="E7" s="18">
        <v>4</v>
      </c>
      <c r="F7" s="18" t="s">
        <v>136</v>
      </c>
      <c r="G7" s="15"/>
      <c r="H7" s="17" t="s">
        <v>75</v>
      </c>
    </row>
    <row r="8" spans="1:8" ht="26.4" x14ac:dyDescent="0.3">
      <c r="A8" s="15" t="s">
        <v>258</v>
      </c>
      <c r="B8" s="15" t="s">
        <v>142</v>
      </c>
      <c r="C8" s="15" t="s">
        <v>65</v>
      </c>
      <c r="D8" s="15" t="s">
        <v>250</v>
      </c>
      <c r="E8" s="18">
        <v>4</v>
      </c>
      <c r="F8" s="18" t="s">
        <v>136</v>
      </c>
      <c r="G8" s="15"/>
      <c r="H8" s="17" t="s">
        <v>75</v>
      </c>
    </row>
    <row r="9" spans="1:8" ht="26.4" x14ac:dyDescent="0.3">
      <c r="A9" s="15" t="s">
        <v>259</v>
      </c>
      <c r="B9" s="15" t="s">
        <v>260</v>
      </c>
      <c r="C9" s="15" t="s">
        <v>65</v>
      </c>
      <c r="D9" s="15" t="s">
        <v>250</v>
      </c>
      <c r="E9" s="18">
        <v>4</v>
      </c>
      <c r="F9" s="18" t="s">
        <v>136</v>
      </c>
      <c r="G9" s="15"/>
      <c r="H9" s="17" t="s">
        <v>75</v>
      </c>
    </row>
    <row r="10" spans="1:8" ht="26.4" x14ac:dyDescent="0.3">
      <c r="A10" s="15" t="s">
        <v>261</v>
      </c>
      <c r="B10" s="15" t="s">
        <v>262</v>
      </c>
      <c r="C10" s="15" t="s">
        <v>65</v>
      </c>
      <c r="D10" s="15" t="s">
        <v>263</v>
      </c>
      <c r="E10" s="18">
        <v>4</v>
      </c>
      <c r="F10" s="18" t="s">
        <v>136</v>
      </c>
      <c r="G10" s="15" t="s">
        <v>264</v>
      </c>
      <c r="H10" s="17" t="s">
        <v>75</v>
      </c>
    </row>
    <row r="11" spans="1:8" ht="26.4" x14ac:dyDescent="0.3">
      <c r="A11" s="15" t="s">
        <v>265</v>
      </c>
      <c r="B11" s="15" t="s">
        <v>266</v>
      </c>
      <c r="C11" s="15" t="s">
        <v>65</v>
      </c>
      <c r="D11" s="15" t="s">
        <v>263</v>
      </c>
      <c r="E11" s="18">
        <v>4</v>
      </c>
      <c r="F11" s="18" t="s">
        <v>136</v>
      </c>
      <c r="G11" s="15"/>
      <c r="H11" s="17" t="s">
        <v>75</v>
      </c>
    </row>
    <row r="12" spans="1:8" ht="26.4" x14ac:dyDescent="0.3">
      <c r="A12" s="15" t="s">
        <v>267</v>
      </c>
      <c r="B12" s="15" t="s">
        <v>268</v>
      </c>
      <c r="C12" s="15" t="s">
        <v>65</v>
      </c>
      <c r="D12" s="15" t="s">
        <v>250</v>
      </c>
      <c r="E12" s="18">
        <v>4</v>
      </c>
      <c r="F12" s="18" t="s">
        <v>136</v>
      </c>
      <c r="G12" s="15"/>
      <c r="H12" s="17" t="s">
        <v>75</v>
      </c>
    </row>
    <row r="13" spans="1:8" ht="39.6" x14ac:dyDescent="0.3">
      <c r="A13" s="15" t="s">
        <v>269</v>
      </c>
      <c r="B13" s="15" t="s">
        <v>270</v>
      </c>
      <c r="C13" s="15" t="s">
        <v>82</v>
      </c>
      <c r="D13" s="15" t="s">
        <v>250</v>
      </c>
      <c r="E13" s="18">
        <v>4</v>
      </c>
      <c r="F13" s="18" t="s">
        <v>136</v>
      </c>
      <c r="G13" s="15"/>
      <c r="H13" s="17" t="s">
        <v>89</v>
      </c>
    </row>
    <row r="14" spans="1:8" ht="39.6" x14ac:dyDescent="0.3">
      <c r="A14" s="15" t="s">
        <v>271</v>
      </c>
      <c r="B14" s="15" t="s">
        <v>272</v>
      </c>
      <c r="C14" s="15" t="s">
        <v>82</v>
      </c>
      <c r="D14" s="15" t="s">
        <v>250</v>
      </c>
      <c r="E14" s="18">
        <v>4</v>
      </c>
      <c r="F14" s="18" t="s">
        <v>136</v>
      </c>
      <c r="G14" s="15"/>
      <c r="H14" s="17" t="s">
        <v>89</v>
      </c>
    </row>
    <row r="15" spans="1:8" ht="39.6" x14ac:dyDescent="0.3">
      <c r="A15" s="15" t="s">
        <v>273</v>
      </c>
      <c r="B15" s="15" t="s">
        <v>274</v>
      </c>
      <c r="C15" s="15" t="s">
        <v>82</v>
      </c>
      <c r="D15" s="15" t="s">
        <v>250</v>
      </c>
      <c r="E15" s="18">
        <v>4</v>
      </c>
      <c r="F15" s="18" t="s">
        <v>136</v>
      </c>
      <c r="G15" s="15"/>
      <c r="H15" s="17" t="s">
        <v>89</v>
      </c>
    </row>
    <row r="16" spans="1:8" ht="39.6" x14ac:dyDescent="0.3">
      <c r="A16" s="15" t="s">
        <v>275</v>
      </c>
      <c r="B16" s="15" t="s">
        <v>276</v>
      </c>
      <c r="C16" s="15" t="s">
        <v>82</v>
      </c>
      <c r="D16" s="15" t="s">
        <v>250</v>
      </c>
      <c r="E16" s="18">
        <v>4</v>
      </c>
      <c r="F16" s="18" t="s">
        <v>136</v>
      </c>
      <c r="G16" s="15"/>
      <c r="H16" s="17" t="s">
        <v>89</v>
      </c>
    </row>
    <row r="17" spans="1:8" ht="39.6" x14ac:dyDescent="0.3">
      <c r="A17" s="15" t="s">
        <v>277</v>
      </c>
      <c r="B17" s="15" t="s">
        <v>278</v>
      </c>
      <c r="C17" s="15" t="s">
        <v>82</v>
      </c>
      <c r="D17" s="15" t="s">
        <v>279</v>
      </c>
      <c r="E17" s="18">
        <v>4</v>
      </c>
      <c r="F17" s="18" t="s">
        <v>136</v>
      </c>
      <c r="G17" s="15"/>
      <c r="H17" s="17" t="s">
        <v>89</v>
      </c>
    </row>
    <row r="18" spans="1:8" ht="39.6" x14ac:dyDescent="0.3">
      <c r="A18" s="15" t="s">
        <v>280</v>
      </c>
      <c r="B18" s="15" t="s">
        <v>281</v>
      </c>
      <c r="C18" s="15" t="s">
        <v>82</v>
      </c>
      <c r="D18" s="15" t="s">
        <v>250</v>
      </c>
      <c r="E18" s="18">
        <v>4</v>
      </c>
      <c r="F18" s="18" t="s">
        <v>136</v>
      </c>
      <c r="G18" s="15"/>
      <c r="H18" s="17" t="s">
        <v>89</v>
      </c>
    </row>
    <row r="19" spans="1:8" ht="26.4" x14ac:dyDescent="0.3">
      <c r="A19" s="15" t="s">
        <v>282</v>
      </c>
      <c r="B19" s="15" t="s">
        <v>283</v>
      </c>
      <c r="C19" s="15" t="s">
        <v>94</v>
      </c>
      <c r="D19" s="15" t="s">
        <v>250</v>
      </c>
      <c r="E19" s="18">
        <v>4</v>
      </c>
      <c r="F19" s="18" t="s">
        <v>136</v>
      </c>
      <c r="G19" s="15"/>
      <c r="H19" s="17" t="s">
        <v>101</v>
      </c>
    </row>
    <row r="20" spans="1:8" ht="26.4" x14ac:dyDescent="0.3">
      <c r="A20" s="15" t="s">
        <v>284</v>
      </c>
      <c r="B20" s="15" t="s">
        <v>285</v>
      </c>
      <c r="C20" s="15" t="s">
        <v>94</v>
      </c>
      <c r="D20" s="15" t="s">
        <v>250</v>
      </c>
      <c r="E20" s="18">
        <v>4</v>
      </c>
      <c r="F20" s="18" t="s">
        <v>136</v>
      </c>
      <c r="G20" s="15"/>
      <c r="H20" s="17" t="s">
        <v>101</v>
      </c>
    </row>
    <row r="21" spans="1:8" ht="26.4" x14ac:dyDescent="0.3">
      <c r="A21" s="15" t="s">
        <v>286</v>
      </c>
      <c r="B21" s="15" t="s">
        <v>287</v>
      </c>
      <c r="C21" s="15" t="s">
        <v>94</v>
      </c>
      <c r="D21" s="15" t="s">
        <v>288</v>
      </c>
      <c r="E21" s="18">
        <v>4</v>
      </c>
      <c r="F21" s="18" t="s">
        <v>136</v>
      </c>
      <c r="G21" s="15"/>
      <c r="H21" s="17" t="s">
        <v>101</v>
      </c>
    </row>
    <row r="22" spans="1:8" ht="26.4" x14ac:dyDescent="0.3">
      <c r="A22" s="15" t="s">
        <v>289</v>
      </c>
      <c r="B22" s="15" t="s">
        <v>200</v>
      </c>
      <c r="C22" s="15" t="s">
        <v>94</v>
      </c>
      <c r="D22" s="15" t="s">
        <v>288</v>
      </c>
      <c r="E22" s="18">
        <v>4</v>
      </c>
      <c r="F22" s="18" t="s">
        <v>136</v>
      </c>
      <c r="G22" s="15"/>
      <c r="H22" s="17" t="s">
        <v>101</v>
      </c>
    </row>
    <row r="23" spans="1:8" ht="26.4" x14ac:dyDescent="0.3">
      <c r="A23" s="15" t="s">
        <v>290</v>
      </c>
      <c r="B23" s="15" t="s">
        <v>195</v>
      </c>
      <c r="C23" s="15" t="s">
        <v>94</v>
      </c>
      <c r="D23" s="15" t="s">
        <v>288</v>
      </c>
      <c r="E23" s="18">
        <v>4</v>
      </c>
      <c r="F23" s="18" t="s">
        <v>136</v>
      </c>
      <c r="G23" s="15"/>
      <c r="H23" s="17" t="s">
        <v>101</v>
      </c>
    </row>
    <row r="24" spans="1:8" ht="26.4" x14ac:dyDescent="0.3">
      <c r="A24" s="15" t="s">
        <v>291</v>
      </c>
      <c r="B24" s="15" t="s">
        <v>292</v>
      </c>
      <c r="C24" s="15" t="s">
        <v>94</v>
      </c>
      <c r="D24" s="15" t="s">
        <v>288</v>
      </c>
      <c r="E24" s="18">
        <v>4</v>
      </c>
      <c r="F24" s="18" t="s">
        <v>136</v>
      </c>
      <c r="G24" s="15"/>
      <c r="H24" s="17" t="s">
        <v>101</v>
      </c>
    </row>
    <row r="25" spans="1:8" ht="26.4" x14ac:dyDescent="0.3">
      <c r="A25" s="15" t="s">
        <v>293</v>
      </c>
      <c r="B25" s="15" t="s">
        <v>294</v>
      </c>
      <c r="C25" s="15" t="s">
        <v>107</v>
      </c>
      <c r="D25" s="15" t="s">
        <v>170</v>
      </c>
      <c r="E25" s="18">
        <v>5</v>
      </c>
      <c r="F25" s="18" t="s">
        <v>136</v>
      </c>
      <c r="G25" s="15" t="s">
        <v>295</v>
      </c>
      <c r="H25" s="17" t="s">
        <v>113</v>
      </c>
    </row>
    <row r="26" spans="1:8" x14ac:dyDescent="0.3">
      <c r="A26" s="15" t="s">
        <v>296</v>
      </c>
      <c r="B26" s="15" t="s">
        <v>297</v>
      </c>
      <c r="C26" s="15" t="s">
        <v>107</v>
      </c>
      <c r="D26" s="15" t="s">
        <v>298</v>
      </c>
      <c r="E26" s="18">
        <v>4</v>
      </c>
      <c r="F26" s="18" t="s">
        <v>136</v>
      </c>
      <c r="G26" s="15" t="s">
        <v>299</v>
      </c>
      <c r="H26" s="17" t="s">
        <v>300</v>
      </c>
    </row>
    <row r="27" spans="1:8" ht="26.4" x14ac:dyDescent="0.3">
      <c r="A27" s="15" t="s">
        <v>301</v>
      </c>
      <c r="B27" s="15" t="s">
        <v>302</v>
      </c>
      <c r="C27" s="15" t="s">
        <v>107</v>
      </c>
      <c r="D27" s="15" t="s">
        <v>170</v>
      </c>
      <c r="E27" s="18">
        <v>4</v>
      </c>
      <c r="F27" s="18" t="s">
        <v>136</v>
      </c>
      <c r="G27" s="15"/>
      <c r="H27" s="17" t="s">
        <v>113</v>
      </c>
    </row>
    <row r="28" spans="1:8" ht="26.4" x14ac:dyDescent="0.3">
      <c r="A28" s="15" t="s">
        <v>303</v>
      </c>
      <c r="B28" s="15" t="s">
        <v>304</v>
      </c>
      <c r="C28" s="15" t="s">
        <v>107</v>
      </c>
      <c r="D28" s="15" t="s">
        <v>170</v>
      </c>
      <c r="E28" s="18">
        <v>5</v>
      </c>
      <c r="F28" s="18" t="s">
        <v>136</v>
      </c>
      <c r="G28" s="15" t="s">
        <v>305</v>
      </c>
      <c r="H28" s="17" t="s">
        <v>113</v>
      </c>
    </row>
    <row r="29" spans="1:8" ht="26.4" x14ac:dyDescent="0.3">
      <c r="A29" s="15" t="s">
        <v>306</v>
      </c>
      <c r="B29" s="15" t="s">
        <v>307</v>
      </c>
      <c r="C29" s="15" t="s">
        <v>107</v>
      </c>
      <c r="D29" s="15" t="s">
        <v>170</v>
      </c>
      <c r="E29" s="18">
        <v>5</v>
      </c>
      <c r="F29" s="18" t="s">
        <v>136</v>
      </c>
      <c r="G29" s="15" t="s">
        <v>308</v>
      </c>
      <c r="H29" s="17" t="s">
        <v>113</v>
      </c>
    </row>
    <row r="30" spans="1:8" ht="26.4" x14ac:dyDescent="0.3">
      <c r="A30" s="15" t="s">
        <v>309</v>
      </c>
      <c r="B30" s="15" t="s">
        <v>310</v>
      </c>
      <c r="C30" s="15" t="s">
        <v>107</v>
      </c>
      <c r="D30" s="15" t="s">
        <v>215</v>
      </c>
      <c r="E30" s="18">
        <v>5</v>
      </c>
      <c r="F30" s="18" t="s">
        <v>136</v>
      </c>
      <c r="G30" s="15" t="s">
        <v>311</v>
      </c>
      <c r="H30" s="17" t="s">
        <v>113</v>
      </c>
    </row>
    <row r="31" spans="1:8" ht="26.4" x14ac:dyDescent="0.3">
      <c r="A31" s="15" t="s">
        <v>312</v>
      </c>
      <c r="B31" s="15" t="s">
        <v>219</v>
      </c>
      <c r="C31" s="15" t="s">
        <v>107</v>
      </c>
      <c r="D31" s="15" t="s">
        <v>215</v>
      </c>
      <c r="E31" s="18">
        <v>5</v>
      </c>
      <c r="F31" s="18" t="s">
        <v>136</v>
      </c>
      <c r="G31" s="15" t="s">
        <v>313</v>
      </c>
      <c r="H31" s="17" t="s">
        <v>113</v>
      </c>
    </row>
    <row r="32" spans="1:8" ht="26.4" x14ac:dyDescent="0.3">
      <c r="A32" s="15" t="s">
        <v>314</v>
      </c>
      <c r="B32" s="15" t="s">
        <v>221</v>
      </c>
      <c r="C32" s="15" t="s">
        <v>107</v>
      </c>
      <c r="D32" s="15" t="s">
        <v>215</v>
      </c>
      <c r="E32" s="18">
        <v>5</v>
      </c>
      <c r="F32" s="18" t="s">
        <v>136</v>
      </c>
      <c r="G32" s="15" t="s">
        <v>315</v>
      </c>
      <c r="H32" s="17" t="s">
        <v>113</v>
      </c>
    </row>
    <row r="33" spans="1:8" ht="26.4" x14ac:dyDescent="0.3">
      <c r="A33" s="15" t="s">
        <v>316</v>
      </c>
      <c r="B33" s="15" t="s">
        <v>317</v>
      </c>
      <c r="C33" s="15" t="s">
        <v>119</v>
      </c>
      <c r="D33" s="15" t="s">
        <v>318</v>
      </c>
      <c r="E33" s="18">
        <v>4</v>
      </c>
      <c r="F33" s="18" t="s">
        <v>136</v>
      </c>
      <c r="G33" s="15"/>
      <c r="H33" s="17" t="s">
        <v>75</v>
      </c>
    </row>
    <row r="34" spans="1:8" ht="26.4" x14ac:dyDescent="0.3">
      <c r="A34" s="15" t="s">
        <v>319</v>
      </c>
      <c r="B34" s="15" t="s">
        <v>320</v>
      </c>
      <c r="C34" s="15" t="s">
        <v>119</v>
      </c>
      <c r="D34" s="15" t="s">
        <v>318</v>
      </c>
      <c r="E34" s="18">
        <v>4</v>
      </c>
      <c r="F34" s="18" t="s">
        <v>136</v>
      </c>
      <c r="G34" s="15"/>
      <c r="H34" s="17" t="s">
        <v>125</v>
      </c>
    </row>
    <row r="35" spans="1:8" ht="26.4" x14ac:dyDescent="0.3">
      <c r="A35" s="15" t="s">
        <v>321</v>
      </c>
      <c r="B35" s="15" t="s">
        <v>322</v>
      </c>
      <c r="C35" s="15" t="s">
        <v>119</v>
      </c>
      <c r="D35" s="15" t="s">
        <v>170</v>
      </c>
      <c r="E35" s="18">
        <v>4</v>
      </c>
      <c r="F35" s="18" t="s">
        <v>234</v>
      </c>
      <c r="G35" s="15" t="s">
        <v>323</v>
      </c>
      <c r="H35" s="17" t="s">
        <v>125</v>
      </c>
    </row>
    <row r="36" spans="1:8" ht="26.4" x14ac:dyDescent="0.3">
      <c r="A36" s="15" t="s">
        <v>324</v>
      </c>
      <c r="B36" s="15" t="s">
        <v>230</v>
      </c>
      <c r="C36" s="15" t="s">
        <v>119</v>
      </c>
      <c r="D36" s="15" t="s">
        <v>170</v>
      </c>
      <c r="E36" s="18">
        <v>4</v>
      </c>
      <c r="F36" s="18" t="s">
        <v>234</v>
      </c>
      <c r="G36" s="15" t="s">
        <v>325</v>
      </c>
      <c r="H36" s="17" t="s">
        <v>125</v>
      </c>
    </row>
    <row r="37" spans="1:8" ht="26.4" x14ac:dyDescent="0.3">
      <c r="A37" s="15" t="s">
        <v>326</v>
      </c>
      <c r="B37" s="15" t="s">
        <v>327</v>
      </c>
      <c r="C37" s="15" t="s">
        <v>119</v>
      </c>
      <c r="D37" s="15" t="s">
        <v>170</v>
      </c>
      <c r="E37" s="18">
        <v>4</v>
      </c>
      <c r="F37" s="18" t="s">
        <v>234</v>
      </c>
      <c r="G37" s="15" t="s">
        <v>323</v>
      </c>
      <c r="H37" s="17" t="s">
        <v>125</v>
      </c>
    </row>
    <row r="38" spans="1:8" ht="26.4" x14ac:dyDescent="0.3">
      <c r="A38" s="15" t="s">
        <v>328</v>
      </c>
      <c r="B38" s="15" t="s">
        <v>329</v>
      </c>
      <c r="C38" s="15" t="s">
        <v>119</v>
      </c>
      <c r="D38" s="15" t="s">
        <v>170</v>
      </c>
      <c r="E38" s="18">
        <v>4</v>
      </c>
      <c r="F38" s="18" t="s">
        <v>136</v>
      </c>
      <c r="G38" s="15"/>
      <c r="H38" s="17" t="s">
        <v>75</v>
      </c>
    </row>
    <row r="39" spans="1:8" ht="26.4" x14ac:dyDescent="0.3">
      <c r="A39" s="15" t="s">
        <v>330</v>
      </c>
      <c r="B39" s="15" t="s">
        <v>331</v>
      </c>
      <c r="C39" s="15" t="s">
        <v>119</v>
      </c>
      <c r="D39" s="15" t="s">
        <v>170</v>
      </c>
      <c r="E39" s="18">
        <v>4</v>
      </c>
      <c r="F39" s="18" t="s">
        <v>136</v>
      </c>
      <c r="G39" s="15"/>
      <c r="H39" s="17" t="s">
        <v>125</v>
      </c>
    </row>
  </sheetData>
  <autoFilter ref="A1:H39" xr:uid="{00000000-0009-0000-0000-000004000000}"/>
  <conditionalFormatting sqref="F2:F39">
    <cfRule type="cellIs" dxfId="9" priority="2" operator="equal">
      <formula>"Check"</formula>
    </cfRule>
  </conditionalFormatting>
  <hyperlinks>
    <hyperlink ref="H2" r:id="rId1" xr:uid="{00000000-0004-0000-0400-000000000000}"/>
    <hyperlink ref="H3" r:id="rId2" xr:uid="{00000000-0004-0000-0400-000001000000}"/>
    <hyperlink ref="H4" r:id="rId3" xr:uid="{00000000-0004-0000-0400-000002000000}"/>
    <hyperlink ref="H5" r:id="rId4" xr:uid="{00000000-0004-0000-0400-000003000000}"/>
    <hyperlink ref="H6" r:id="rId5" xr:uid="{00000000-0004-0000-0400-000004000000}"/>
    <hyperlink ref="H7" r:id="rId6" xr:uid="{00000000-0004-0000-0400-000005000000}"/>
    <hyperlink ref="H8" r:id="rId7" xr:uid="{00000000-0004-0000-0400-000006000000}"/>
    <hyperlink ref="H9" r:id="rId8" xr:uid="{00000000-0004-0000-0400-000007000000}"/>
    <hyperlink ref="H10" r:id="rId9" xr:uid="{00000000-0004-0000-0400-000008000000}"/>
    <hyperlink ref="H11" r:id="rId10" xr:uid="{00000000-0004-0000-0400-000009000000}"/>
    <hyperlink ref="H12" r:id="rId11" xr:uid="{00000000-0004-0000-0400-00000A000000}"/>
    <hyperlink ref="H13" r:id="rId12" xr:uid="{00000000-0004-0000-0400-00000B000000}"/>
    <hyperlink ref="H14" r:id="rId13" xr:uid="{00000000-0004-0000-0400-00000C000000}"/>
    <hyperlink ref="H15" r:id="rId14" xr:uid="{00000000-0004-0000-0400-00000D000000}"/>
    <hyperlink ref="H16" r:id="rId15" xr:uid="{00000000-0004-0000-0400-00000E000000}"/>
    <hyperlink ref="H17" r:id="rId16" xr:uid="{00000000-0004-0000-0400-00000F000000}"/>
    <hyperlink ref="H18" r:id="rId17" xr:uid="{00000000-0004-0000-0400-000010000000}"/>
    <hyperlink ref="H19" r:id="rId18" xr:uid="{00000000-0004-0000-0400-000011000000}"/>
    <hyperlink ref="H20" r:id="rId19" xr:uid="{00000000-0004-0000-0400-000012000000}"/>
    <hyperlink ref="H21" r:id="rId20" xr:uid="{00000000-0004-0000-0400-000013000000}"/>
    <hyperlink ref="H22" r:id="rId21" xr:uid="{00000000-0004-0000-0400-000014000000}"/>
    <hyperlink ref="H23" r:id="rId22" xr:uid="{00000000-0004-0000-0400-000015000000}"/>
    <hyperlink ref="H24" r:id="rId23" xr:uid="{00000000-0004-0000-0400-000016000000}"/>
    <hyperlink ref="H25" r:id="rId24" xr:uid="{00000000-0004-0000-0400-000017000000}"/>
    <hyperlink ref="H26" r:id="rId25" xr:uid="{00000000-0004-0000-0400-000018000000}"/>
    <hyperlink ref="H27" r:id="rId26" xr:uid="{00000000-0004-0000-0400-000019000000}"/>
    <hyperlink ref="H28" r:id="rId27" xr:uid="{00000000-0004-0000-0400-00001A000000}"/>
    <hyperlink ref="H29" r:id="rId28" xr:uid="{00000000-0004-0000-0400-00001B000000}"/>
    <hyperlink ref="H30" r:id="rId29" xr:uid="{00000000-0004-0000-0400-00001C000000}"/>
    <hyperlink ref="H31" r:id="rId30" xr:uid="{00000000-0004-0000-0400-00001D000000}"/>
    <hyperlink ref="H32" r:id="rId31" xr:uid="{00000000-0004-0000-0400-00001E000000}"/>
    <hyperlink ref="H33" r:id="rId32" xr:uid="{00000000-0004-0000-0400-00001F000000}"/>
    <hyperlink ref="H34" r:id="rId33" xr:uid="{00000000-0004-0000-0400-000020000000}"/>
    <hyperlink ref="H35" r:id="rId34" xr:uid="{00000000-0004-0000-0400-000021000000}"/>
    <hyperlink ref="H36" r:id="rId35" xr:uid="{00000000-0004-0000-0400-000022000000}"/>
    <hyperlink ref="H37" r:id="rId36" xr:uid="{00000000-0004-0000-0400-000023000000}"/>
    <hyperlink ref="H38" r:id="rId37" xr:uid="{00000000-0004-0000-0400-000024000000}"/>
    <hyperlink ref="H39" r:id="rId38" xr:uid="{00000000-0004-0000-0400-00002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44" customWidth="1"/>
    <col min="3" max="3" width="17" customWidth="1"/>
    <col min="4" max="4" width="22" customWidth="1"/>
    <col min="5" max="5" width="9" customWidth="1"/>
    <col min="6" max="6" width="10" customWidth="1"/>
    <col min="7" max="7" width="44" customWidth="1"/>
    <col min="8" max="8" width="48" customWidth="1"/>
  </cols>
  <sheetData>
    <row r="1" spans="1:8" ht="31.5" customHeight="1" x14ac:dyDescent="0.3">
      <c r="A1" s="16" t="s">
        <v>39</v>
      </c>
      <c r="B1" s="16" t="s">
        <v>42</v>
      </c>
      <c r="C1" s="16" t="s">
        <v>129</v>
      </c>
      <c r="D1" s="16" t="s">
        <v>130</v>
      </c>
      <c r="E1" s="16" t="s">
        <v>31</v>
      </c>
      <c r="F1" s="16" t="s">
        <v>131</v>
      </c>
      <c r="G1" s="16" t="s">
        <v>46</v>
      </c>
      <c r="H1" s="16" t="s">
        <v>132</v>
      </c>
    </row>
    <row r="2" spans="1:8" ht="39.6" x14ac:dyDescent="0.3">
      <c r="A2" s="15" t="s">
        <v>332</v>
      </c>
      <c r="B2" s="15" t="s">
        <v>333</v>
      </c>
      <c r="C2" s="15" t="s">
        <v>65</v>
      </c>
      <c r="D2" s="15" t="s">
        <v>170</v>
      </c>
      <c r="E2" s="18">
        <v>4</v>
      </c>
      <c r="F2" s="18" t="s">
        <v>136</v>
      </c>
      <c r="G2" s="15"/>
      <c r="H2" s="17" t="s">
        <v>79</v>
      </c>
    </row>
    <row r="3" spans="1:8" ht="39.6" x14ac:dyDescent="0.3">
      <c r="A3" s="15" t="s">
        <v>334</v>
      </c>
      <c r="B3" s="15" t="s">
        <v>335</v>
      </c>
      <c r="C3" s="15" t="s">
        <v>65</v>
      </c>
      <c r="D3" s="15" t="s">
        <v>170</v>
      </c>
      <c r="E3" s="18">
        <v>4</v>
      </c>
      <c r="F3" s="18" t="s">
        <v>136</v>
      </c>
      <c r="G3" s="15"/>
      <c r="H3" s="17" t="s">
        <v>79</v>
      </c>
    </row>
    <row r="4" spans="1:8" ht="39.6" x14ac:dyDescent="0.3">
      <c r="A4" s="15" t="s">
        <v>336</v>
      </c>
      <c r="B4" s="15" t="s">
        <v>337</v>
      </c>
      <c r="C4" s="15" t="s">
        <v>65</v>
      </c>
      <c r="D4" s="15" t="s">
        <v>170</v>
      </c>
      <c r="E4" s="18">
        <v>4</v>
      </c>
      <c r="F4" s="18" t="s">
        <v>136</v>
      </c>
      <c r="G4" s="15"/>
      <c r="H4" s="17" t="s">
        <v>79</v>
      </c>
    </row>
    <row r="5" spans="1:8" ht="39.6" x14ac:dyDescent="0.3">
      <c r="A5" s="15" t="s">
        <v>338</v>
      </c>
      <c r="B5" s="15" t="s">
        <v>339</v>
      </c>
      <c r="C5" s="15" t="s">
        <v>65</v>
      </c>
      <c r="D5" s="15" t="s">
        <v>170</v>
      </c>
      <c r="E5" s="18">
        <v>4</v>
      </c>
      <c r="F5" s="18" t="s">
        <v>136</v>
      </c>
      <c r="G5" s="15"/>
      <c r="H5" s="17" t="s">
        <v>79</v>
      </c>
    </row>
    <row r="6" spans="1:8" ht="39.6" x14ac:dyDescent="0.3">
      <c r="A6" s="15" t="s">
        <v>340</v>
      </c>
      <c r="B6" s="15" t="s">
        <v>341</v>
      </c>
      <c r="C6" s="15" t="s">
        <v>65</v>
      </c>
      <c r="D6" s="15" t="s">
        <v>170</v>
      </c>
      <c r="E6" s="18">
        <v>4</v>
      </c>
      <c r="F6" s="18" t="s">
        <v>136</v>
      </c>
      <c r="G6" s="15"/>
      <c r="H6" s="17" t="s">
        <v>79</v>
      </c>
    </row>
    <row r="7" spans="1:8" ht="39.6" x14ac:dyDescent="0.3">
      <c r="A7" s="15" t="s">
        <v>342</v>
      </c>
      <c r="B7" s="15" t="s">
        <v>260</v>
      </c>
      <c r="C7" s="15" t="s">
        <v>65</v>
      </c>
      <c r="D7" s="15" t="s">
        <v>343</v>
      </c>
      <c r="E7" s="18">
        <v>4</v>
      </c>
      <c r="F7" s="18" t="s">
        <v>136</v>
      </c>
      <c r="G7" s="15"/>
      <c r="H7" s="17" t="s">
        <v>127</v>
      </c>
    </row>
    <row r="8" spans="1:8" ht="39.6" x14ac:dyDescent="0.3">
      <c r="A8" s="15" t="s">
        <v>344</v>
      </c>
      <c r="B8" s="15" t="s">
        <v>237</v>
      </c>
      <c r="C8" s="15" t="s">
        <v>65</v>
      </c>
      <c r="D8" s="15" t="s">
        <v>170</v>
      </c>
      <c r="E8" s="18">
        <v>4</v>
      </c>
      <c r="F8" s="18" t="s">
        <v>136</v>
      </c>
      <c r="G8" s="15"/>
      <c r="H8" s="17" t="s">
        <v>79</v>
      </c>
    </row>
    <row r="9" spans="1:8" ht="26.4" x14ac:dyDescent="0.3">
      <c r="A9" s="15" t="s">
        <v>345</v>
      </c>
      <c r="B9" s="15" t="s">
        <v>346</v>
      </c>
      <c r="C9" s="15" t="s">
        <v>82</v>
      </c>
      <c r="D9" s="15" t="s">
        <v>165</v>
      </c>
      <c r="E9" s="18">
        <v>4</v>
      </c>
      <c r="F9" s="18" t="s">
        <v>136</v>
      </c>
      <c r="G9" s="15"/>
      <c r="H9" s="17" t="s">
        <v>92</v>
      </c>
    </row>
    <row r="10" spans="1:8" ht="26.4" x14ac:dyDescent="0.3">
      <c r="A10" s="15" t="s">
        <v>347</v>
      </c>
      <c r="B10" s="15" t="s">
        <v>348</v>
      </c>
      <c r="C10" s="15" t="s">
        <v>82</v>
      </c>
      <c r="D10" s="15" t="s">
        <v>165</v>
      </c>
      <c r="E10" s="18">
        <v>4</v>
      </c>
      <c r="F10" s="18" t="s">
        <v>136</v>
      </c>
      <c r="G10" s="15"/>
      <c r="H10" s="17" t="s">
        <v>92</v>
      </c>
    </row>
    <row r="11" spans="1:8" ht="26.4" x14ac:dyDescent="0.3">
      <c r="A11" s="15" t="s">
        <v>349</v>
      </c>
      <c r="B11" s="15" t="s">
        <v>350</v>
      </c>
      <c r="C11" s="15" t="s">
        <v>82</v>
      </c>
      <c r="D11" s="15" t="s">
        <v>351</v>
      </c>
      <c r="E11" s="18">
        <v>4</v>
      </c>
      <c r="F11" s="18" t="s">
        <v>136</v>
      </c>
      <c r="G11" s="15" t="s">
        <v>352</v>
      </c>
      <c r="H11" s="17" t="s">
        <v>92</v>
      </c>
    </row>
    <row r="12" spans="1:8" ht="26.4" x14ac:dyDescent="0.3">
      <c r="A12" s="15" t="s">
        <v>353</v>
      </c>
      <c r="B12" s="15" t="s">
        <v>354</v>
      </c>
      <c r="C12" s="15" t="s">
        <v>82</v>
      </c>
      <c r="D12" s="15" t="s">
        <v>351</v>
      </c>
      <c r="E12" s="18">
        <v>4</v>
      </c>
      <c r="F12" s="18" t="s">
        <v>136</v>
      </c>
      <c r="G12" s="15" t="s">
        <v>355</v>
      </c>
      <c r="H12" s="17" t="s">
        <v>92</v>
      </c>
    </row>
    <row r="13" spans="1:8" ht="26.4" x14ac:dyDescent="0.3">
      <c r="A13" s="15" t="s">
        <v>356</v>
      </c>
      <c r="B13" s="15" t="s">
        <v>357</v>
      </c>
      <c r="C13" s="15" t="s">
        <v>82</v>
      </c>
      <c r="D13" s="15" t="s">
        <v>351</v>
      </c>
      <c r="E13" s="18">
        <v>4</v>
      </c>
      <c r="F13" s="18" t="s">
        <v>136</v>
      </c>
      <c r="G13" s="15" t="s">
        <v>358</v>
      </c>
      <c r="H13" s="17" t="s">
        <v>92</v>
      </c>
    </row>
    <row r="14" spans="1:8" ht="26.4" x14ac:dyDescent="0.3">
      <c r="A14" s="15" t="s">
        <v>359</v>
      </c>
      <c r="B14" s="15" t="s">
        <v>360</v>
      </c>
      <c r="C14" s="15" t="s">
        <v>82</v>
      </c>
      <c r="D14" s="15" t="s">
        <v>170</v>
      </c>
      <c r="E14" s="18">
        <v>4</v>
      </c>
      <c r="F14" s="18" t="s">
        <v>136</v>
      </c>
      <c r="G14" s="15"/>
      <c r="H14" s="17" t="s">
        <v>92</v>
      </c>
    </row>
    <row r="15" spans="1:8" x14ac:dyDescent="0.3">
      <c r="A15" s="15" t="s">
        <v>361</v>
      </c>
      <c r="B15" s="15" t="s">
        <v>362</v>
      </c>
      <c r="C15" s="15" t="s">
        <v>94</v>
      </c>
      <c r="D15" s="15" t="s">
        <v>165</v>
      </c>
      <c r="E15" s="18">
        <v>4</v>
      </c>
      <c r="F15" s="18" t="s">
        <v>136</v>
      </c>
      <c r="G15" s="15"/>
      <c r="H15" s="17" t="s">
        <v>104</v>
      </c>
    </row>
    <row r="16" spans="1:8" x14ac:dyDescent="0.3">
      <c r="A16" s="15" t="s">
        <v>363</v>
      </c>
      <c r="B16" s="15" t="s">
        <v>364</v>
      </c>
      <c r="C16" s="15" t="s">
        <v>94</v>
      </c>
      <c r="D16" s="15" t="s">
        <v>357</v>
      </c>
      <c r="E16" s="18">
        <v>4</v>
      </c>
      <c r="F16" s="18" t="s">
        <v>136</v>
      </c>
      <c r="G16" s="15"/>
      <c r="H16" s="17" t="s">
        <v>104</v>
      </c>
    </row>
    <row r="17" spans="1:8" ht="26.4" x14ac:dyDescent="0.3">
      <c r="A17" s="15" t="s">
        <v>365</v>
      </c>
      <c r="B17" s="15" t="s">
        <v>366</v>
      </c>
      <c r="C17" s="15" t="s">
        <v>94</v>
      </c>
      <c r="D17" s="15" t="s">
        <v>357</v>
      </c>
      <c r="E17" s="18">
        <v>4</v>
      </c>
      <c r="F17" s="18" t="s">
        <v>136</v>
      </c>
      <c r="G17" s="15"/>
      <c r="H17" s="17" t="s">
        <v>104</v>
      </c>
    </row>
    <row r="18" spans="1:8" x14ac:dyDescent="0.3">
      <c r="A18" s="15" t="s">
        <v>367</v>
      </c>
      <c r="B18" s="15" t="s">
        <v>368</v>
      </c>
      <c r="C18" s="15" t="s">
        <v>94</v>
      </c>
      <c r="D18" s="15" t="s">
        <v>369</v>
      </c>
      <c r="E18" s="18">
        <v>4</v>
      </c>
      <c r="F18" s="18" t="s">
        <v>136</v>
      </c>
      <c r="G18" s="15"/>
      <c r="H18" s="17" t="s">
        <v>104</v>
      </c>
    </row>
    <row r="19" spans="1:8" x14ac:dyDescent="0.3">
      <c r="A19" s="15" t="s">
        <v>370</v>
      </c>
      <c r="B19" s="15" t="s">
        <v>371</v>
      </c>
      <c r="C19" s="15" t="s">
        <v>94</v>
      </c>
      <c r="D19" s="15" t="s">
        <v>369</v>
      </c>
      <c r="E19" s="18">
        <v>4</v>
      </c>
      <c r="F19" s="18" t="s">
        <v>136</v>
      </c>
      <c r="G19" s="15"/>
      <c r="H19" s="17" t="s">
        <v>104</v>
      </c>
    </row>
    <row r="20" spans="1:8" x14ac:dyDescent="0.3">
      <c r="A20" s="15" t="s">
        <v>372</v>
      </c>
      <c r="B20" s="15" t="s">
        <v>373</v>
      </c>
      <c r="C20" s="15" t="s">
        <v>94</v>
      </c>
      <c r="D20" s="15" t="s">
        <v>369</v>
      </c>
      <c r="E20" s="18">
        <v>4</v>
      </c>
      <c r="F20" s="18" t="s">
        <v>136</v>
      </c>
      <c r="G20" s="15"/>
      <c r="H20" s="17" t="s">
        <v>104</v>
      </c>
    </row>
    <row r="21" spans="1:8" x14ac:dyDescent="0.3">
      <c r="A21" s="15" t="s">
        <v>374</v>
      </c>
      <c r="B21" s="15" t="s">
        <v>375</v>
      </c>
      <c r="C21" s="15" t="s">
        <v>94</v>
      </c>
      <c r="D21" s="15" t="s">
        <v>369</v>
      </c>
      <c r="E21" s="18">
        <v>4</v>
      </c>
      <c r="F21" s="18" t="s">
        <v>136</v>
      </c>
      <c r="G21" s="15"/>
      <c r="H21" s="17" t="s">
        <v>104</v>
      </c>
    </row>
    <row r="22" spans="1:8" x14ac:dyDescent="0.3">
      <c r="A22" s="15" t="s">
        <v>376</v>
      </c>
      <c r="B22" s="15" t="s">
        <v>200</v>
      </c>
      <c r="C22" s="15" t="s">
        <v>94</v>
      </c>
      <c r="D22" s="15" t="s">
        <v>369</v>
      </c>
      <c r="E22" s="18">
        <v>4</v>
      </c>
      <c r="F22" s="18" t="s">
        <v>136</v>
      </c>
      <c r="G22" s="15"/>
      <c r="H22" s="17" t="s">
        <v>104</v>
      </c>
    </row>
    <row r="23" spans="1:8" x14ac:dyDescent="0.3">
      <c r="A23" s="15" t="s">
        <v>377</v>
      </c>
      <c r="B23" s="15" t="s">
        <v>195</v>
      </c>
      <c r="C23" s="15" t="s">
        <v>94</v>
      </c>
      <c r="D23" s="15" t="s">
        <v>369</v>
      </c>
      <c r="E23" s="18">
        <v>4</v>
      </c>
      <c r="F23" s="18" t="s">
        <v>136</v>
      </c>
      <c r="G23" s="15"/>
      <c r="H23" s="17" t="s">
        <v>104</v>
      </c>
    </row>
    <row r="24" spans="1:8" x14ac:dyDescent="0.3">
      <c r="A24" s="15" t="s">
        <v>378</v>
      </c>
      <c r="B24" s="15" t="s">
        <v>379</v>
      </c>
      <c r="C24" s="15" t="s">
        <v>94</v>
      </c>
      <c r="D24" s="15" t="s">
        <v>380</v>
      </c>
      <c r="E24" s="18">
        <v>4</v>
      </c>
      <c r="F24" s="18" t="s">
        <v>136</v>
      </c>
      <c r="G24" s="15"/>
      <c r="H24" s="17" t="s">
        <v>104</v>
      </c>
    </row>
    <row r="25" spans="1:8" ht="26.4" x14ac:dyDescent="0.3">
      <c r="A25" s="15" t="s">
        <v>381</v>
      </c>
      <c r="B25" s="15" t="s">
        <v>382</v>
      </c>
      <c r="C25" s="15" t="s">
        <v>107</v>
      </c>
      <c r="D25" s="15" t="s">
        <v>250</v>
      </c>
      <c r="E25" s="18">
        <v>4</v>
      </c>
      <c r="F25" s="18" t="s">
        <v>136</v>
      </c>
      <c r="G25" s="15"/>
      <c r="H25" s="17" t="s">
        <v>117</v>
      </c>
    </row>
    <row r="26" spans="1:8" ht="26.4" x14ac:dyDescent="0.3">
      <c r="A26" s="15" t="s">
        <v>383</v>
      </c>
      <c r="B26" s="15" t="s">
        <v>384</v>
      </c>
      <c r="C26" s="15" t="s">
        <v>107</v>
      </c>
      <c r="D26" s="15" t="s">
        <v>250</v>
      </c>
      <c r="E26" s="18">
        <v>4</v>
      </c>
      <c r="F26" s="18" t="s">
        <v>136</v>
      </c>
      <c r="G26" s="15"/>
      <c r="H26" s="17" t="s">
        <v>117</v>
      </c>
    </row>
    <row r="27" spans="1:8" ht="26.4" x14ac:dyDescent="0.3">
      <c r="A27" s="15" t="s">
        <v>385</v>
      </c>
      <c r="B27" s="15" t="s">
        <v>386</v>
      </c>
      <c r="C27" s="15" t="s">
        <v>107</v>
      </c>
      <c r="D27" s="15" t="s">
        <v>250</v>
      </c>
      <c r="E27" s="18">
        <v>4</v>
      </c>
      <c r="F27" s="18" t="s">
        <v>136</v>
      </c>
      <c r="G27" s="15"/>
      <c r="H27" s="17" t="s">
        <v>117</v>
      </c>
    </row>
    <row r="28" spans="1:8" x14ac:dyDescent="0.3">
      <c r="A28" s="15" t="s">
        <v>387</v>
      </c>
      <c r="B28" s="15" t="s">
        <v>212</v>
      </c>
      <c r="C28" s="15" t="s">
        <v>107</v>
      </c>
      <c r="D28" s="15" t="s">
        <v>388</v>
      </c>
      <c r="E28" s="18">
        <v>4</v>
      </c>
      <c r="F28" s="18" t="s">
        <v>136</v>
      </c>
      <c r="G28" s="15"/>
      <c r="H28" s="17" t="s">
        <v>389</v>
      </c>
    </row>
    <row r="29" spans="1:8" ht="26.4" x14ac:dyDescent="0.3">
      <c r="A29" s="15" t="s">
        <v>390</v>
      </c>
      <c r="B29" s="15" t="s">
        <v>391</v>
      </c>
      <c r="C29" s="15" t="s">
        <v>107</v>
      </c>
      <c r="D29" s="15" t="s">
        <v>215</v>
      </c>
      <c r="E29" s="18">
        <v>5</v>
      </c>
      <c r="F29" s="18" t="s">
        <v>234</v>
      </c>
      <c r="G29" s="15" t="s">
        <v>392</v>
      </c>
      <c r="H29" s="17" t="s">
        <v>393</v>
      </c>
    </row>
    <row r="30" spans="1:8" ht="26.4" x14ac:dyDescent="0.3">
      <c r="A30" s="15" t="s">
        <v>394</v>
      </c>
      <c r="B30" s="15" t="s">
        <v>395</v>
      </c>
      <c r="C30" s="15" t="s">
        <v>107</v>
      </c>
      <c r="D30" s="15" t="s">
        <v>215</v>
      </c>
      <c r="E30" s="18">
        <v>5</v>
      </c>
      <c r="F30" s="18" t="s">
        <v>234</v>
      </c>
      <c r="G30" s="15" t="s">
        <v>392</v>
      </c>
      <c r="H30" s="17" t="s">
        <v>393</v>
      </c>
    </row>
    <row r="31" spans="1:8" ht="26.4" x14ac:dyDescent="0.3">
      <c r="A31" s="15" t="s">
        <v>396</v>
      </c>
      <c r="B31" s="15" t="s">
        <v>397</v>
      </c>
      <c r="C31" s="15" t="s">
        <v>107</v>
      </c>
      <c r="D31" s="15" t="s">
        <v>215</v>
      </c>
      <c r="E31" s="18">
        <v>5</v>
      </c>
      <c r="F31" s="18" t="s">
        <v>234</v>
      </c>
      <c r="G31" s="15" t="s">
        <v>392</v>
      </c>
      <c r="H31" s="17" t="s">
        <v>393</v>
      </c>
    </row>
    <row r="32" spans="1:8" ht="26.4" x14ac:dyDescent="0.3">
      <c r="A32" s="15" t="s">
        <v>398</v>
      </c>
      <c r="B32" s="15" t="s">
        <v>399</v>
      </c>
      <c r="C32" s="15" t="s">
        <v>107</v>
      </c>
      <c r="D32" s="15" t="s">
        <v>215</v>
      </c>
      <c r="E32" s="18">
        <v>5</v>
      </c>
      <c r="F32" s="18" t="s">
        <v>234</v>
      </c>
      <c r="G32" s="15" t="s">
        <v>392</v>
      </c>
      <c r="H32" s="17" t="s">
        <v>393</v>
      </c>
    </row>
    <row r="33" spans="1:8" ht="39.6" x14ac:dyDescent="0.3">
      <c r="A33" s="15" t="s">
        <v>400</v>
      </c>
      <c r="B33" s="15" t="s">
        <v>223</v>
      </c>
      <c r="C33" s="15" t="s">
        <v>119</v>
      </c>
      <c r="D33" s="15" t="s">
        <v>170</v>
      </c>
      <c r="E33" s="18">
        <v>4</v>
      </c>
      <c r="F33" s="18" t="s">
        <v>136</v>
      </c>
      <c r="G33" s="15"/>
      <c r="H33" s="17" t="s">
        <v>127</v>
      </c>
    </row>
    <row r="34" spans="1:8" ht="39.6" x14ac:dyDescent="0.3">
      <c r="A34" s="15" t="s">
        <v>401</v>
      </c>
      <c r="B34" s="15" t="s">
        <v>226</v>
      </c>
      <c r="C34" s="15" t="s">
        <v>119</v>
      </c>
      <c r="D34" s="15" t="s">
        <v>170</v>
      </c>
      <c r="E34" s="18">
        <v>4</v>
      </c>
      <c r="F34" s="18" t="s">
        <v>136</v>
      </c>
      <c r="G34" s="15"/>
      <c r="H34" s="17" t="s">
        <v>127</v>
      </c>
    </row>
    <row r="35" spans="1:8" ht="39.6" x14ac:dyDescent="0.3">
      <c r="A35" s="15" t="s">
        <v>402</v>
      </c>
      <c r="B35" s="15" t="s">
        <v>403</v>
      </c>
      <c r="C35" s="15" t="s">
        <v>119</v>
      </c>
      <c r="D35" s="15" t="s">
        <v>170</v>
      </c>
      <c r="E35" s="18">
        <v>4</v>
      </c>
      <c r="F35" s="18" t="s">
        <v>136</v>
      </c>
      <c r="G35" s="15"/>
      <c r="H35" s="17" t="s">
        <v>127</v>
      </c>
    </row>
    <row r="36" spans="1:8" ht="39.6" x14ac:dyDescent="0.3">
      <c r="A36" s="15" t="s">
        <v>404</v>
      </c>
      <c r="B36" s="15" t="s">
        <v>230</v>
      </c>
      <c r="C36" s="15" t="s">
        <v>119</v>
      </c>
      <c r="D36" s="15" t="s">
        <v>170</v>
      </c>
      <c r="E36" s="18">
        <v>4</v>
      </c>
      <c r="F36" s="18" t="s">
        <v>136</v>
      </c>
      <c r="G36" s="15"/>
      <c r="H36" s="17" t="s">
        <v>127</v>
      </c>
    </row>
    <row r="37" spans="1:8" ht="52.8" x14ac:dyDescent="0.3">
      <c r="A37" s="15" t="s">
        <v>405</v>
      </c>
      <c r="B37" s="15" t="s">
        <v>406</v>
      </c>
      <c r="C37" s="15" t="s">
        <v>119</v>
      </c>
      <c r="D37" s="15" t="s">
        <v>380</v>
      </c>
      <c r="E37" s="18">
        <v>4</v>
      </c>
      <c r="F37" s="18" t="s">
        <v>136</v>
      </c>
      <c r="G37" s="15"/>
      <c r="H37" s="17" t="s">
        <v>407</v>
      </c>
    </row>
    <row r="38" spans="1:8" ht="52.8" x14ac:dyDescent="0.3">
      <c r="A38" s="15" t="s">
        <v>408</v>
      </c>
      <c r="B38" s="15" t="s">
        <v>409</v>
      </c>
      <c r="C38" s="15" t="s">
        <v>119</v>
      </c>
      <c r="D38" s="15" t="s">
        <v>380</v>
      </c>
      <c r="E38" s="18">
        <v>4</v>
      </c>
      <c r="F38" s="18" t="s">
        <v>136</v>
      </c>
      <c r="G38" s="15"/>
      <c r="H38" s="17" t="s">
        <v>407</v>
      </c>
    </row>
    <row r="39" spans="1:8" ht="52.8" x14ac:dyDescent="0.3">
      <c r="A39" s="15" t="s">
        <v>410</v>
      </c>
      <c r="B39" s="15" t="s">
        <v>411</v>
      </c>
      <c r="C39" s="15" t="s">
        <v>119</v>
      </c>
      <c r="D39" s="15" t="s">
        <v>380</v>
      </c>
      <c r="E39" s="18">
        <v>4</v>
      </c>
      <c r="F39" s="18" t="s">
        <v>136</v>
      </c>
      <c r="G39" s="15"/>
      <c r="H39" s="17" t="s">
        <v>407</v>
      </c>
    </row>
  </sheetData>
  <autoFilter ref="A1:H39" xr:uid="{00000000-0009-0000-0000-000005000000}"/>
  <conditionalFormatting sqref="F2:F39">
    <cfRule type="cellIs" dxfId="8" priority="2" operator="equal">
      <formula>"Check"</formula>
    </cfRule>
  </conditionalFormatting>
  <hyperlinks>
    <hyperlink ref="H2" r:id="rId1" xr:uid="{00000000-0004-0000-0500-000000000000}"/>
    <hyperlink ref="H3" r:id="rId2" xr:uid="{00000000-0004-0000-0500-000001000000}"/>
    <hyperlink ref="H4" r:id="rId3" xr:uid="{00000000-0004-0000-0500-000002000000}"/>
    <hyperlink ref="H5" r:id="rId4" xr:uid="{00000000-0004-0000-0500-000003000000}"/>
    <hyperlink ref="H6" r:id="rId5" xr:uid="{00000000-0004-0000-0500-000004000000}"/>
    <hyperlink ref="H7" r:id="rId6" xr:uid="{00000000-0004-0000-0500-000005000000}"/>
    <hyperlink ref="H8" r:id="rId7" xr:uid="{00000000-0004-0000-0500-000006000000}"/>
    <hyperlink ref="H9" r:id="rId8" xr:uid="{00000000-0004-0000-0500-000007000000}"/>
    <hyperlink ref="H10" r:id="rId9" xr:uid="{00000000-0004-0000-0500-000008000000}"/>
    <hyperlink ref="H11" r:id="rId10" xr:uid="{00000000-0004-0000-0500-000009000000}"/>
    <hyperlink ref="H12" r:id="rId11" xr:uid="{00000000-0004-0000-0500-00000A000000}"/>
    <hyperlink ref="H13" r:id="rId12" xr:uid="{00000000-0004-0000-0500-00000B000000}"/>
    <hyperlink ref="H14" r:id="rId13" xr:uid="{00000000-0004-0000-0500-00000C000000}"/>
    <hyperlink ref="H15" r:id="rId14" xr:uid="{00000000-0004-0000-0500-00000D000000}"/>
    <hyperlink ref="H16" r:id="rId15" xr:uid="{00000000-0004-0000-0500-00000E000000}"/>
    <hyperlink ref="H17" r:id="rId16" xr:uid="{00000000-0004-0000-0500-00000F000000}"/>
    <hyperlink ref="H18" r:id="rId17" xr:uid="{00000000-0004-0000-0500-000010000000}"/>
    <hyperlink ref="H19" r:id="rId18" xr:uid="{00000000-0004-0000-0500-000011000000}"/>
    <hyperlink ref="H20" r:id="rId19" xr:uid="{00000000-0004-0000-0500-000012000000}"/>
    <hyperlink ref="H21" r:id="rId20" xr:uid="{00000000-0004-0000-0500-000013000000}"/>
    <hyperlink ref="H22" r:id="rId21" xr:uid="{00000000-0004-0000-0500-000014000000}"/>
    <hyperlink ref="H23" r:id="rId22" xr:uid="{00000000-0004-0000-0500-000015000000}"/>
    <hyperlink ref="H24" r:id="rId23" xr:uid="{00000000-0004-0000-0500-000016000000}"/>
    <hyperlink ref="H25" r:id="rId24" xr:uid="{00000000-0004-0000-0500-000017000000}"/>
    <hyperlink ref="H26" r:id="rId25" xr:uid="{00000000-0004-0000-0500-000018000000}"/>
    <hyperlink ref="H27" r:id="rId26" xr:uid="{00000000-0004-0000-0500-000019000000}"/>
    <hyperlink ref="H28" r:id="rId27" xr:uid="{00000000-0004-0000-0500-00001A000000}"/>
    <hyperlink ref="H29" r:id="rId28" xr:uid="{00000000-0004-0000-0500-00001B000000}"/>
    <hyperlink ref="H30" r:id="rId29" xr:uid="{00000000-0004-0000-0500-00001C000000}"/>
    <hyperlink ref="H31" r:id="rId30" xr:uid="{00000000-0004-0000-0500-00001D000000}"/>
    <hyperlink ref="H32" r:id="rId31" xr:uid="{00000000-0004-0000-0500-00001E000000}"/>
    <hyperlink ref="H33" r:id="rId32" xr:uid="{00000000-0004-0000-0500-00001F000000}"/>
    <hyperlink ref="H34" r:id="rId33" xr:uid="{00000000-0004-0000-0500-000020000000}"/>
    <hyperlink ref="H35" r:id="rId34" xr:uid="{00000000-0004-0000-0500-000021000000}"/>
    <hyperlink ref="H36" r:id="rId35" xr:uid="{00000000-0004-0000-0500-000022000000}"/>
    <hyperlink ref="H37" r:id="rId36" xr:uid="{00000000-0004-0000-0500-000023000000}"/>
    <hyperlink ref="H38" r:id="rId37" xr:uid="{00000000-0004-0000-0500-000024000000}"/>
    <hyperlink ref="H39" r:id="rId38" xr:uid="{00000000-0004-0000-0500-00002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34" customWidth="1"/>
    <col min="3" max="3" width="16" customWidth="1"/>
    <col min="4" max="4" width="9" customWidth="1"/>
    <col min="5" max="5" width="15" customWidth="1"/>
    <col min="6" max="6" width="34" customWidth="1"/>
    <col min="7" max="7" width="9" customWidth="1"/>
    <col min="8" max="8" width="22" customWidth="1"/>
    <col min="9" max="9" width="15" customWidth="1"/>
    <col min="10" max="10" width="34" customWidth="1"/>
    <col min="11" max="11" width="9" customWidth="1"/>
    <col min="12" max="12" width="22" customWidth="1"/>
    <col min="13" max="13" width="50" customWidth="1"/>
  </cols>
  <sheetData>
    <row r="1" spans="1:13" ht="31.5" customHeight="1" x14ac:dyDescent="0.3">
      <c r="A1" s="16" t="s">
        <v>412</v>
      </c>
      <c r="B1" s="16" t="s">
        <v>413</v>
      </c>
      <c r="C1" s="16" t="s">
        <v>129</v>
      </c>
      <c r="D1" s="16" t="s">
        <v>414</v>
      </c>
      <c r="E1" s="16" t="s">
        <v>415</v>
      </c>
      <c r="F1" s="16" t="s">
        <v>416</v>
      </c>
      <c r="G1" s="16" t="s">
        <v>417</v>
      </c>
      <c r="H1" s="16" t="s">
        <v>418</v>
      </c>
      <c r="I1" s="16" t="s">
        <v>419</v>
      </c>
      <c r="J1" s="16" t="s">
        <v>420</v>
      </c>
      <c r="K1" s="16" t="s">
        <v>421</v>
      </c>
      <c r="L1" s="16" t="s">
        <v>422</v>
      </c>
      <c r="M1" s="16" t="s">
        <v>46</v>
      </c>
    </row>
    <row r="2" spans="1:13" ht="26.4" x14ac:dyDescent="0.3">
      <c r="A2" s="19" t="s">
        <v>133</v>
      </c>
      <c r="B2" s="15" t="str">
        <f>IF(A2="—","—",IFERROR(INDEX('BU Courses'!$B$2:$B$42,MATCH(A2,'BU Courses'!$A$2:$A$42,0)),"Not in sheet"))</f>
        <v>Introduction to Computer Science 1</v>
      </c>
      <c r="C2" s="15" t="str">
        <f>IF(A2="—","—",IFERROR(INDEX('BU Courses'!$C$2:$C$42,MATCH(A2,'BU Courses'!$A$2:$A$42,0)),"Not in sheet"))</f>
        <v>Computer Science</v>
      </c>
      <c r="D2" s="18">
        <f>IF(A2="—","—",IFERROR(INDEX('BU Courses'!$E$2:$E$42,MATCH(A2,'BU Courses'!$A$2:$A$42,0)),"Not in sheet"))</f>
        <v>4</v>
      </c>
      <c r="E2" s="19" t="s">
        <v>241</v>
      </c>
      <c r="F2" s="15" t="str">
        <f>IF(E2="—","—",IFERROR(INDEX('Northeastern Courses'!$B$2:$B$39,MATCH(E2,'Northeastern Courses'!$A$2:$A$39,0)),"Not in sheet"))</f>
        <v>Introduction to Program Design and Implementation</v>
      </c>
      <c r="G2" s="18">
        <f>IF(E2="—","—",IFERROR(INDEX('Northeastern Courses'!$E$2:$E$39,MATCH(E2,'Northeastern Courses'!$A$2:$A$39,0)),"Not in sheet"))</f>
        <v>5</v>
      </c>
      <c r="H2" s="15" t="s">
        <v>423</v>
      </c>
      <c r="I2" s="19" t="s">
        <v>332</v>
      </c>
      <c r="J2" s="15" t="str">
        <f>IF(I2="—","—",IFERROR(INDEX('NYU Courses'!$B$2:$B$39,MATCH(I2,'NYU Courses'!$A$2:$A$39,0)),"Not in sheet"))</f>
        <v>Intro to Computer Science</v>
      </c>
      <c r="K2" s="18">
        <f>IF(I2="—","—",IFERROR(INDEX('NYU Courses'!$E$2:$E$39,MATCH(I2,'NYU Courses'!$A$2:$A$39,0)),"Not in sheet"))</f>
        <v>4</v>
      </c>
      <c r="L2" s="15" t="s">
        <v>423</v>
      </c>
      <c r="M2" s="15" t="s">
        <v>424</v>
      </c>
    </row>
    <row r="3" spans="1:13" ht="26.4" x14ac:dyDescent="0.3">
      <c r="A3" s="19" t="s">
        <v>137</v>
      </c>
      <c r="B3" s="15" t="str">
        <f>IF(A3="—","—",IFERROR(INDEX('BU Courses'!$B$2:$B$42,MATCH(A3,'BU Courses'!$A$2:$A$42,0)),"Not in sheet"))</f>
        <v>Introduction to Computer Science 2</v>
      </c>
      <c r="C3" s="15" t="str">
        <f>IF(A3="—","—",IFERROR(INDEX('BU Courses'!$C$2:$C$42,MATCH(A3,'BU Courses'!$A$2:$A$42,0)),"Not in sheet"))</f>
        <v>Computer Science</v>
      </c>
      <c r="D3" s="18">
        <f>IF(A3="—","—",IFERROR(INDEX('BU Courses'!$E$2:$E$42,MATCH(A3,'BU Courses'!$A$2:$A$42,0)),"Not in sheet"))</f>
        <v>4</v>
      </c>
      <c r="E3" s="19" t="s">
        <v>245</v>
      </c>
      <c r="F3" s="15" t="str">
        <f>IF(E3="—","—",IFERROR(INDEX('Northeastern Courses'!$B$2:$B$39,MATCH(E3,'Northeastern Courses'!$A$2:$A$39,0)),"Not in sheet"))</f>
        <v>Program Design and Implementation 1</v>
      </c>
      <c r="G3" s="18">
        <f>IF(E3="—","—",IFERROR(INDEX('Northeastern Courses'!$E$2:$E$39,MATCH(E3,'Northeastern Courses'!$A$2:$A$39,0)),"Not in sheet"))</f>
        <v>5</v>
      </c>
      <c r="H3" s="15" t="s">
        <v>425</v>
      </c>
      <c r="I3" s="19" t="s">
        <v>334</v>
      </c>
      <c r="J3" s="15" t="str">
        <f>IF(I3="—","—",IFERROR(INDEX('NYU Courses'!$B$2:$B$39,MATCH(I3,'NYU Courses'!$A$2:$A$39,0)),"Not in sheet"))</f>
        <v>Data Structures</v>
      </c>
      <c r="K3" s="18">
        <f>IF(I3="—","—",IFERROR(INDEX('NYU Courses'!$E$2:$E$39,MATCH(I3,'NYU Courses'!$A$2:$A$39,0)),"Not in sheet"))</f>
        <v>4</v>
      </c>
      <c r="L3" s="15" t="s">
        <v>423</v>
      </c>
      <c r="M3" s="15" t="s">
        <v>426</v>
      </c>
    </row>
    <row r="4" spans="1:13" ht="26.4" x14ac:dyDescent="0.3">
      <c r="A4" s="19" t="s">
        <v>139</v>
      </c>
      <c r="B4" s="15" t="str">
        <f>IF(A4="—","—",IFERROR(INDEX('BU Courses'!$B$2:$B$42,MATCH(A4,'BU Courses'!$A$2:$A$42,0)),"Not in sheet"))</f>
        <v>Combinatoric Structures</v>
      </c>
      <c r="C4" s="15" t="str">
        <f>IF(A4="—","—",IFERROR(INDEX('BU Courses'!$C$2:$C$42,MATCH(A4,'BU Courses'!$A$2:$A$42,0)),"Not in sheet"))</f>
        <v>Computer Science</v>
      </c>
      <c r="D4" s="18">
        <f>IF(A4="—","—",IFERROR(INDEX('BU Courses'!$E$2:$E$42,MATCH(A4,'BU Courses'!$A$2:$A$42,0)),"Not in sheet"))</f>
        <v>4</v>
      </c>
      <c r="E4" s="19" t="s">
        <v>252</v>
      </c>
      <c r="F4" s="15" t="str">
        <f>IF(E4="—","—",IFERROR(INDEX('Northeastern Courses'!$B$2:$B$39,MATCH(E4,'Northeastern Courses'!$A$2:$A$39,0)),"Not in sheet"))</f>
        <v>Discrete Structures</v>
      </c>
      <c r="G4" s="18">
        <f>IF(E4="—","—",IFERROR(INDEX('Northeastern Courses'!$E$2:$E$39,MATCH(E4,'Northeastern Courses'!$A$2:$A$39,0)),"Not in sheet"))</f>
        <v>4</v>
      </c>
      <c r="H4" s="15" t="s">
        <v>423</v>
      </c>
      <c r="I4" s="19" t="s">
        <v>344</v>
      </c>
      <c r="J4" s="15" t="str">
        <f>IF(I4="—","—",IFERROR(INDEX('NYU Courses'!$B$2:$B$39,MATCH(I4,'NYU Courses'!$A$2:$A$39,0)),"Not in sheet"))</f>
        <v>Discrete Mathematics</v>
      </c>
      <c r="K4" s="18">
        <f>IF(I4="—","—",IFERROR(INDEX('NYU Courses'!$E$2:$E$39,MATCH(I4,'NYU Courses'!$A$2:$A$39,0)),"Not in sheet"))</f>
        <v>4</v>
      </c>
      <c r="L4" s="15" t="s">
        <v>423</v>
      </c>
      <c r="M4" s="15" t="s">
        <v>427</v>
      </c>
    </row>
    <row r="5" spans="1:13" ht="26.4" x14ac:dyDescent="0.3">
      <c r="A5" s="19" t="s">
        <v>141</v>
      </c>
      <c r="B5" s="15" t="str">
        <f>IF(A5="—","—",IFERROR(INDEX('BU Courses'!$B$2:$B$42,MATCH(A5,'BU Courses'!$A$2:$A$42,0)),"Not in sheet"))</f>
        <v>Computer Systems</v>
      </c>
      <c r="C5" s="15" t="str">
        <f>IF(A5="—","—",IFERROR(INDEX('BU Courses'!$C$2:$C$42,MATCH(A5,'BU Courses'!$A$2:$A$42,0)),"Not in sheet"))</f>
        <v>Computer Science</v>
      </c>
      <c r="D5" s="18">
        <f>IF(A5="—","—",IFERROR(INDEX('BU Courses'!$E$2:$E$42,MATCH(A5,'BU Courses'!$A$2:$A$42,0)),"Not in sheet"))</f>
        <v>4</v>
      </c>
      <c r="E5" s="19" t="s">
        <v>258</v>
      </c>
      <c r="F5" s="15" t="str">
        <f>IF(E5="—","—",IFERROR(INDEX('Northeastern Courses'!$B$2:$B$39,MATCH(E5,'Northeastern Courses'!$A$2:$A$39,0)),"Not in sheet"))</f>
        <v>Computer Systems</v>
      </c>
      <c r="G5" s="18">
        <f>IF(E5="—","—",IFERROR(INDEX('Northeastern Courses'!$E$2:$E$39,MATCH(E5,'Northeastern Courses'!$A$2:$A$39,0)),"Not in sheet"))</f>
        <v>4</v>
      </c>
      <c r="H5" s="15" t="s">
        <v>423</v>
      </c>
      <c r="I5" s="19" t="s">
        <v>336</v>
      </c>
      <c r="J5" s="15" t="str">
        <f>IF(I5="—","—",IFERROR(INDEX('NYU Courses'!$B$2:$B$39,MATCH(I5,'NYU Courses'!$A$2:$A$39,0)),"Not in sheet"))</f>
        <v>Computer Systems Organization</v>
      </c>
      <c r="K5" s="18">
        <f>IF(I5="—","—",IFERROR(INDEX('NYU Courses'!$E$2:$E$39,MATCH(I5,'NYU Courses'!$A$2:$A$39,0)),"Not in sheet"))</f>
        <v>4</v>
      </c>
      <c r="L5" s="15" t="s">
        <v>423</v>
      </c>
      <c r="M5" s="15" t="s">
        <v>428</v>
      </c>
    </row>
    <row r="6" spans="1:13" ht="26.4" x14ac:dyDescent="0.3">
      <c r="A6" s="19" t="s">
        <v>143</v>
      </c>
      <c r="B6" s="15" t="str">
        <f>IF(A6="—","—",IFERROR(INDEX('BU Courses'!$B$2:$B$42,MATCH(A6,'BU Courses'!$A$2:$A$42,0)),"Not in sheet"))</f>
        <v>Introduction to the Analysis of Algorithms</v>
      </c>
      <c r="C6" s="15" t="str">
        <f>IF(A6="—","—",IFERROR(INDEX('BU Courses'!$C$2:$C$42,MATCH(A6,'BU Courses'!$A$2:$A$42,0)),"Not in sheet"))</f>
        <v>Computer Science</v>
      </c>
      <c r="D6" s="18">
        <f>IF(A6="—","—",IFERROR(INDEX('BU Courses'!$E$2:$E$42,MATCH(A6,'BU Courses'!$A$2:$A$42,0)),"Not in sheet"))</f>
        <v>4</v>
      </c>
      <c r="E6" s="19" t="s">
        <v>40</v>
      </c>
      <c r="F6" s="15" t="str">
        <f>IF(E6="—","—",IFERROR(INDEX('Northeastern Courses'!$B$2:$B$39,MATCH(E6,'Northeastern Courses'!$A$2:$A$39,0)),"Not in sheet"))</f>
        <v>Algorithms and Data</v>
      </c>
      <c r="G6" s="18">
        <f>IF(E6="—","—",IFERROR(INDEX('Northeastern Courses'!$E$2:$E$39,MATCH(E6,'Northeastern Courses'!$A$2:$A$39,0)),"Not in sheet"))</f>
        <v>4</v>
      </c>
      <c r="H6" s="15" t="s">
        <v>423</v>
      </c>
      <c r="I6" s="19" t="s">
        <v>340</v>
      </c>
      <c r="J6" s="15" t="str">
        <f>IF(I6="—","—",IFERROR(INDEX('NYU Courses'!$B$2:$B$39,MATCH(I6,'NYU Courses'!$A$2:$A$39,0)),"Not in sheet"))</f>
        <v>Basic Algorithms</v>
      </c>
      <c r="K6" s="18">
        <f>IF(I6="—","—",IFERROR(INDEX('NYU Courses'!$E$2:$E$39,MATCH(I6,'NYU Courses'!$A$2:$A$39,0)),"Not in sheet"))</f>
        <v>4</v>
      </c>
      <c r="L6" s="15" t="s">
        <v>423</v>
      </c>
      <c r="M6" s="15" t="s">
        <v>429</v>
      </c>
    </row>
    <row r="7" spans="1:13" ht="26.4" x14ac:dyDescent="0.3">
      <c r="A7" s="19" t="s">
        <v>145</v>
      </c>
      <c r="B7" s="15" t="str">
        <f>IF(A7="—","—",IFERROR(INDEX('BU Courses'!$B$2:$B$42,MATCH(A7,'BU Courses'!$A$2:$A$42,0)),"Not in sheet"))</f>
        <v>Geometric Algorithms</v>
      </c>
      <c r="C7" s="15" t="str">
        <f>IF(A7="—","—",IFERROR(INDEX('BU Courses'!$C$2:$C$42,MATCH(A7,'BU Courses'!$A$2:$A$42,0)),"Not in sheet"))</f>
        <v>Computer Science</v>
      </c>
      <c r="D7" s="18">
        <f>IF(A7="—","—",IFERROR(INDEX('BU Courses'!$E$2:$E$42,MATCH(A7,'BU Courses'!$A$2:$A$42,0)),"Not in sheet"))</f>
        <v>4</v>
      </c>
      <c r="E7" s="19" t="s">
        <v>324</v>
      </c>
      <c r="F7" s="15" t="str">
        <f>IF(E7="—","—",IFERROR(INDEX('Northeastern Courses'!$B$2:$B$39,MATCH(E7,'Northeastern Courses'!$A$2:$A$39,0)),"Not in sheet"))</f>
        <v>Linear Algebra</v>
      </c>
      <c r="G7" s="18">
        <f>IF(E7="—","—",IFERROR(INDEX('Northeastern Courses'!$E$2:$E$39,MATCH(E7,'Northeastern Courses'!$A$2:$A$39,0)),"Not in sheet"))</f>
        <v>4</v>
      </c>
      <c r="H7" s="15" t="s">
        <v>425</v>
      </c>
      <c r="I7" s="19" t="s">
        <v>404</v>
      </c>
      <c r="J7" s="15" t="str">
        <f>IF(I7="—","—",IFERROR(INDEX('NYU Courses'!$B$2:$B$39,MATCH(I7,'NYU Courses'!$A$2:$A$39,0)),"Not in sheet"))</f>
        <v>Linear Algebra</v>
      </c>
      <c r="K7" s="18">
        <f>IF(I7="—","—",IFERROR(INDEX('NYU Courses'!$E$2:$E$39,MATCH(I7,'NYU Courses'!$A$2:$A$39,0)),"Not in sheet"))</f>
        <v>4</v>
      </c>
      <c r="L7" s="15" t="s">
        <v>425</v>
      </c>
      <c r="M7" s="15" t="s">
        <v>430</v>
      </c>
    </row>
    <row r="8" spans="1:13" ht="26.4" x14ac:dyDescent="0.3">
      <c r="A8" s="19" t="s">
        <v>149</v>
      </c>
      <c r="B8" s="15" t="str">
        <f>IF(A8="—","—",IFERROR(INDEX('BU Courses'!$B$2:$B$42,MATCH(A8,'BU Courses'!$A$2:$A$42,0)),"Not in sheet"))</f>
        <v>Algebraic Algorithms</v>
      </c>
      <c r="C8" s="15" t="str">
        <f>IF(A8="—","—",IFERROR(INDEX('BU Courses'!$C$2:$C$42,MATCH(A8,'BU Courses'!$A$2:$A$42,0)),"Not in sheet"))</f>
        <v>Computer Science</v>
      </c>
      <c r="D8" s="18">
        <f>IF(A8="—","—",IFERROR(INDEX('BU Courses'!$E$2:$E$42,MATCH(A8,'BU Courses'!$A$2:$A$42,0)),"Not in sheet"))</f>
        <v>4</v>
      </c>
      <c r="E8" s="19" t="s">
        <v>431</v>
      </c>
      <c r="F8" s="15" t="str">
        <f>IF(E8="—","—",IFERROR(INDEX('Northeastern Courses'!$B$2:$B$39,MATCH(E8,'Northeastern Courses'!$A$2:$A$39,0)),"Not in sheet"))</f>
        <v>—</v>
      </c>
      <c r="G8" s="18" t="str">
        <f>IF(E8="—","—",IFERROR(INDEX('Northeastern Courses'!$E$2:$E$39,MATCH(E8,'Northeastern Courses'!$A$2:$A$39,0)),"Not in sheet"))</f>
        <v>—</v>
      </c>
      <c r="H8" s="15" t="s">
        <v>432</v>
      </c>
      <c r="I8" s="19" t="s">
        <v>431</v>
      </c>
      <c r="J8" s="15" t="str">
        <f>IF(I8="—","—",IFERROR(INDEX('NYU Courses'!$B$2:$B$39,MATCH(I8,'NYU Courses'!$A$2:$A$39,0)),"Not in sheet"))</f>
        <v>—</v>
      </c>
      <c r="K8" s="18" t="str">
        <f>IF(I8="—","—",IFERROR(INDEX('NYU Courses'!$E$2:$E$39,MATCH(I8,'NYU Courses'!$A$2:$A$39,0)),"Not in sheet"))</f>
        <v>—</v>
      </c>
      <c r="L8" s="15" t="s">
        <v>432</v>
      </c>
      <c r="M8" s="15" t="s">
        <v>433</v>
      </c>
    </row>
    <row r="9" spans="1:13" ht="26.4" x14ac:dyDescent="0.3">
      <c r="A9" s="19" t="s">
        <v>152</v>
      </c>
      <c r="B9" s="15" t="str">
        <f>IF(A9="—","—",IFERROR(INDEX('BU Courses'!$B$2:$B$42,MATCH(A9,'BU Courses'!$A$2:$A$42,0)),"Not in sheet"))</f>
        <v>Probability in Computing</v>
      </c>
      <c r="C9" s="15" t="str">
        <f>IF(A9="—","—",IFERROR(INDEX('BU Courses'!$C$2:$C$42,MATCH(A9,'BU Courses'!$A$2:$A$42,0)),"Not in sheet"))</f>
        <v>Computer Science</v>
      </c>
      <c r="D9" s="18">
        <f>IF(A9="—","—",IFERROR(INDEX('BU Courses'!$E$2:$E$42,MATCH(A9,'BU Courses'!$A$2:$A$42,0)),"Not in sheet"))</f>
        <v>4</v>
      </c>
      <c r="E9" s="19" t="s">
        <v>330</v>
      </c>
      <c r="F9" s="15" t="str">
        <f>IF(E9="—","—",IFERROR(INDEX('Northeastern Courses'!$B$2:$B$39,MATCH(E9,'Northeastern Courses'!$A$2:$A$39,0)),"Not in sheet"))</f>
        <v>Probability and Statistics</v>
      </c>
      <c r="G9" s="18">
        <f>IF(E9="—","—",IFERROR(INDEX('Northeastern Courses'!$E$2:$E$39,MATCH(E9,'Northeastern Courses'!$A$2:$A$39,0)),"Not in sheet"))</f>
        <v>4</v>
      </c>
      <c r="H9" s="15" t="s">
        <v>425</v>
      </c>
      <c r="I9" s="19" t="s">
        <v>408</v>
      </c>
      <c r="J9" s="15" t="str">
        <f>IF(I9="—","—",IFERROR(INDEX('NYU Courses'!$B$2:$B$39,MATCH(I9,'NYU Courses'!$A$2:$A$39,0)),"Not in sheet"))</f>
        <v>Theory of Probability</v>
      </c>
      <c r="K9" s="18">
        <f>IF(I9="—","—",IFERROR(INDEX('NYU Courses'!$E$2:$E$39,MATCH(I9,'NYU Courses'!$A$2:$A$39,0)),"Not in sheet"))</f>
        <v>4</v>
      </c>
      <c r="L9" s="15" t="s">
        <v>425</v>
      </c>
      <c r="M9" s="15" t="s">
        <v>434</v>
      </c>
    </row>
    <row r="10" spans="1:13" ht="26.4" x14ac:dyDescent="0.3">
      <c r="A10" s="19" t="s">
        <v>155</v>
      </c>
      <c r="B10" s="15" t="str">
        <f>IF(A10="—","—",IFERROR(INDEX('BU Courses'!$B$2:$B$42,MATCH(A10,'BU Courses'!$A$2:$A$42,0)),"Not in sheet"))</f>
        <v>Concepts of Programming Languages</v>
      </c>
      <c r="C10" s="15" t="str">
        <f>IF(A10="—","—",IFERROR(INDEX('BU Courses'!$C$2:$C$42,MATCH(A10,'BU Courses'!$A$2:$A$42,0)),"Not in sheet"))</f>
        <v>Computer Science</v>
      </c>
      <c r="D10" s="18">
        <f>IF(A10="—","—",IFERROR(INDEX('BU Courses'!$E$2:$E$42,MATCH(A10,'BU Courses'!$A$2:$A$42,0)),"Not in sheet"))</f>
        <v>4</v>
      </c>
      <c r="E10" s="19" t="s">
        <v>261</v>
      </c>
      <c r="F10" s="15" t="str">
        <f>IF(E10="—","—",IFERROR(INDEX('Northeastern Courses'!$B$2:$B$39,MATCH(E10,'Northeastern Courses'!$A$2:$A$39,0)),"Not in sheet"))</f>
        <v>Programming Languages</v>
      </c>
      <c r="G10" s="18">
        <f>IF(E10="—","—",IFERROR(INDEX('Northeastern Courses'!$E$2:$E$39,MATCH(E10,'Northeastern Courses'!$A$2:$A$39,0)),"Not in sheet"))</f>
        <v>4</v>
      </c>
      <c r="H10" s="15" t="s">
        <v>435</v>
      </c>
      <c r="I10" s="19" t="s">
        <v>431</v>
      </c>
      <c r="J10" s="15" t="str">
        <f>IF(I10="—","—",IFERROR(INDEX('NYU Courses'!$B$2:$B$39,MATCH(I10,'NYU Courses'!$A$2:$A$39,0)),"Not in sheet"))</f>
        <v>—</v>
      </c>
      <c r="K10" s="18" t="str">
        <f>IF(I10="—","—",IFERROR(INDEX('NYU Courses'!$E$2:$E$39,MATCH(I10,'NYU Courses'!$A$2:$A$39,0)),"Not in sheet"))</f>
        <v>—</v>
      </c>
      <c r="L10" s="15" t="s">
        <v>435</v>
      </c>
      <c r="M10" s="15" t="s">
        <v>436</v>
      </c>
    </row>
    <row r="11" spans="1:13" ht="26.4" x14ac:dyDescent="0.3">
      <c r="A11" s="19" t="s">
        <v>159</v>
      </c>
      <c r="B11" s="15" t="str">
        <f>IF(A11="—","—",IFERROR(INDEX('BU Courses'!$B$2:$B$42,MATCH(A11,'BU Courses'!$A$2:$A$42,0)),"Not in sheet"))</f>
        <v>Elements of the Theory of Computation</v>
      </c>
      <c r="C11" s="15" t="str">
        <f>IF(A11="—","—",IFERROR(INDEX('BU Courses'!$C$2:$C$42,MATCH(A11,'BU Courses'!$A$2:$A$42,0)),"Not in sheet"))</f>
        <v>Computer Science</v>
      </c>
      <c r="D11" s="18">
        <f>IF(A11="—","—",IFERROR(INDEX('BU Courses'!$E$2:$E$42,MATCH(A11,'BU Courses'!$A$2:$A$42,0)),"Not in sheet"))</f>
        <v>4</v>
      </c>
      <c r="E11" s="19" t="s">
        <v>259</v>
      </c>
      <c r="F11" s="15" t="str">
        <f>IF(E11="—","—",IFERROR(INDEX('Northeastern Courses'!$B$2:$B$39,MATCH(E11,'Northeastern Courses'!$A$2:$A$39,0)),"Not in sheet"))</f>
        <v>Theory of Computation</v>
      </c>
      <c r="G11" s="18">
        <f>IF(E11="—","—",IFERROR(INDEX('Northeastern Courses'!$E$2:$E$39,MATCH(E11,'Northeastern Courses'!$A$2:$A$39,0)),"Not in sheet"))</f>
        <v>4</v>
      </c>
      <c r="H11" s="15" t="s">
        <v>435</v>
      </c>
      <c r="I11" s="19" t="s">
        <v>342</v>
      </c>
      <c r="J11" s="15" t="str">
        <f>IF(I11="—","—",IFERROR(INDEX('NYU Courses'!$B$2:$B$39,MATCH(I11,'NYU Courses'!$A$2:$A$39,0)),"Not in sheet"))</f>
        <v>Theory of Computation</v>
      </c>
      <c r="K11" s="18">
        <f>IF(I11="—","—",IFERROR(INDEX('NYU Courses'!$E$2:$E$39,MATCH(I11,'NYU Courses'!$A$2:$A$39,0)),"Not in sheet"))</f>
        <v>4</v>
      </c>
      <c r="L11" s="15" t="s">
        <v>435</v>
      </c>
      <c r="M11" s="15" t="s">
        <v>436</v>
      </c>
    </row>
    <row r="12" spans="1:13" ht="26.4" x14ac:dyDescent="0.3">
      <c r="A12" s="19" t="s">
        <v>161</v>
      </c>
      <c r="B12" s="15" t="str">
        <f>IF(A12="—","—",IFERROR(INDEX('BU Courses'!$B$2:$B$42,MATCH(A12,'BU Courses'!$A$2:$A$42,0)),"Not in sheet"))</f>
        <v>Fundamentals of Computing Systems</v>
      </c>
      <c r="C12" s="15" t="str">
        <f>IF(A12="—","—",IFERROR(INDEX('BU Courses'!$C$2:$C$42,MATCH(A12,'BU Courses'!$A$2:$A$42,0)),"Not in sheet"))</f>
        <v>Computer Science</v>
      </c>
      <c r="D12" s="18">
        <f>IF(A12="—","—",IFERROR(INDEX('BU Courses'!$E$2:$E$42,MATCH(A12,'BU Courses'!$A$2:$A$42,0)),"Not in sheet"))</f>
        <v>4</v>
      </c>
      <c r="E12" s="19" t="s">
        <v>431</v>
      </c>
      <c r="F12" s="15" t="str">
        <f>IF(E12="—","—",IFERROR(INDEX('Northeastern Courses'!$B$2:$B$39,MATCH(E12,'Northeastern Courses'!$A$2:$A$39,0)),"Not in sheet"))</f>
        <v>—</v>
      </c>
      <c r="G12" s="18" t="str">
        <f>IF(E12="—","—",IFERROR(INDEX('Northeastern Courses'!$E$2:$E$39,MATCH(E12,'Northeastern Courses'!$A$2:$A$39,0)),"Not in sheet"))</f>
        <v>—</v>
      </c>
      <c r="H12" s="15" t="s">
        <v>435</v>
      </c>
      <c r="I12" s="19" t="s">
        <v>338</v>
      </c>
      <c r="J12" s="15" t="str">
        <f>IF(I12="—","—",IFERROR(INDEX('NYU Courses'!$B$2:$B$39,MATCH(I12,'NYU Courses'!$A$2:$A$39,0)),"Not in sheet"))</f>
        <v>Operating Systems</v>
      </c>
      <c r="K12" s="18">
        <f>IF(I12="—","—",IFERROR(INDEX('NYU Courses'!$E$2:$E$39,MATCH(I12,'NYU Courses'!$A$2:$A$39,0)),"Not in sheet"))</f>
        <v>4</v>
      </c>
      <c r="L12" s="15" t="s">
        <v>435</v>
      </c>
      <c r="M12" s="15" t="s">
        <v>436</v>
      </c>
    </row>
    <row r="13" spans="1:13" x14ac:dyDescent="0.3">
      <c r="A13" s="19" t="s">
        <v>163</v>
      </c>
      <c r="B13" s="15" t="str">
        <f>IF(A13="—","—",IFERROR(INDEX('BU Courses'!$B$2:$B$42,MATCH(A13,'BU Courses'!$A$2:$A$42,0)),"Not in sheet"))</f>
        <v>Introductory Microeconomic Analysis</v>
      </c>
      <c r="C13" s="15" t="str">
        <f>IF(A13="—","—",IFERROR(INDEX('BU Courses'!$C$2:$C$42,MATCH(A13,'BU Courses'!$A$2:$A$42,0)),"Not in sheet"))</f>
        <v>Economics</v>
      </c>
      <c r="D13" s="18">
        <f>IF(A13="—","—",IFERROR(INDEX('BU Courses'!$E$2:$E$42,MATCH(A13,'BU Courses'!$A$2:$A$42,0)),"Not in sheet"))</f>
        <v>4</v>
      </c>
      <c r="E13" s="19" t="s">
        <v>269</v>
      </c>
      <c r="F13" s="15" t="str">
        <f>IF(E13="—","—",IFERROR(INDEX('Northeastern Courses'!$B$2:$B$39,MATCH(E13,'Northeastern Courses'!$A$2:$A$39,0)),"Not in sheet"))</f>
        <v>Principles of Microeconomics</v>
      </c>
      <c r="G13" s="18">
        <f>IF(E13="—","—",IFERROR(INDEX('Northeastern Courses'!$E$2:$E$39,MATCH(E13,'Northeastern Courses'!$A$2:$A$39,0)),"Not in sheet"))</f>
        <v>4</v>
      </c>
      <c r="H13" s="15" t="s">
        <v>423</v>
      </c>
      <c r="I13" s="19" t="s">
        <v>345</v>
      </c>
      <c r="J13" s="15" t="str">
        <f>IF(I13="—","—",IFERROR(INDEX('NYU Courses'!$B$2:$B$39,MATCH(I13,'NYU Courses'!$A$2:$A$39,0)),"Not in sheet"))</f>
        <v>Introduction to Microeconomics</v>
      </c>
      <c r="K13" s="18">
        <f>IF(I13="—","—",IFERROR(INDEX('NYU Courses'!$E$2:$E$39,MATCH(I13,'NYU Courses'!$A$2:$A$39,0)),"Not in sheet"))</f>
        <v>4</v>
      </c>
      <c r="L13" s="15" t="s">
        <v>423</v>
      </c>
      <c r="M13" s="15" t="s">
        <v>437</v>
      </c>
    </row>
    <row r="14" spans="1:13" x14ac:dyDescent="0.3">
      <c r="A14" s="19" t="s">
        <v>166</v>
      </c>
      <c r="B14" s="15" t="str">
        <f>IF(A14="—","—",IFERROR(INDEX('BU Courses'!$B$2:$B$42,MATCH(A14,'BU Courses'!$A$2:$A$42,0)),"Not in sheet"))</f>
        <v>Introductory Macroeconomic Analysis</v>
      </c>
      <c r="C14" s="15" t="str">
        <f>IF(A14="—","—",IFERROR(INDEX('BU Courses'!$C$2:$C$42,MATCH(A14,'BU Courses'!$A$2:$A$42,0)),"Not in sheet"))</f>
        <v>Economics</v>
      </c>
      <c r="D14" s="18">
        <f>IF(A14="—","—",IFERROR(INDEX('BU Courses'!$E$2:$E$42,MATCH(A14,'BU Courses'!$A$2:$A$42,0)),"Not in sheet"))</f>
        <v>4</v>
      </c>
      <c r="E14" s="19" t="s">
        <v>271</v>
      </c>
      <c r="F14" s="15" t="str">
        <f>IF(E14="—","—",IFERROR(INDEX('Northeastern Courses'!$B$2:$B$39,MATCH(E14,'Northeastern Courses'!$A$2:$A$39,0)),"Not in sheet"))</f>
        <v>Principles of Macroeconomics</v>
      </c>
      <c r="G14" s="18">
        <f>IF(E14="—","—",IFERROR(INDEX('Northeastern Courses'!$E$2:$E$39,MATCH(E14,'Northeastern Courses'!$A$2:$A$39,0)),"Not in sheet"))</f>
        <v>4</v>
      </c>
      <c r="H14" s="15" t="s">
        <v>423</v>
      </c>
      <c r="I14" s="19" t="s">
        <v>347</v>
      </c>
      <c r="J14" s="15" t="str">
        <f>IF(I14="—","—",IFERROR(INDEX('NYU Courses'!$B$2:$B$39,MATCH(I14,'NYU Courses'!$A$2:$A$39,0)),"Not in sheet"))</f>
        <v>Introduction to Macroeconomics</v>
      </c>
      <c r="K14" s="18">
        <f>IF(I14="—","—",IFERROR(INDEX('NYU Courses'!$E$2:$E$39,MATCH(I14,'NYU Courses'!$A$2:$A$39,0)),"Not in sheet"))</f>
        <v>4</v>
      </c>
      <c r="L14" s="15" t="s">
        <v>423</v>
      </c>
      <c r="M14" s="15" t="s">
        <v>438</v>
      </c>
    </row>
    <row r="15" spans="1:13" x14ac:dyDescent="0.3">
      <c r="A15" s="19" t="s">
        <v>168</v>
      </c>
      <c r="B15" s="15" t="str">
        <f>IF(A15="—","—",IFERROR(INDEX('BU Courses'!$B$2:$B$42,MATCH(A15,'BU Courses'!$A$2:$A$42,0)),"Not in sheet"))</f>
        <v>Intermediate Microeconomic Analysis</v>
      </c>
      <c r="C15" s="15" t="str">
        <f>IF(A15="—","—",IFERROR(INDEX('BU Courses'!$C$2:$C$42,MATCH(A15,'BU Courses'!$A$2:$A$42,0)),"Not in sheet"))</f>
        <v>Economics</v>
      </c>
      <c r="D15" s="18">
        <f>IF(A15="—","—",IFERROR(INDEX('BU Courses'!$E$2:$E$42,MATCH(A15,'BU Courses'!$A$2:$A$42,0)),"Not in sheet"))</f>
        <v>4</v>
      </c>
      <c r="E15" s="19" t="s">
        <v>273</v>
      </c>
      <c r="F15" s="15" t="str">
        <f>IF(E15="—","—",IFERROR(INDEX('Northeastern Courses'!$B$2:$B$39,MATCH(E15,'Northeastern Courses'!$A$2:$A$39,0)),"Not in sheet"))</f>
        <v>Microeconomic Theory</v>
      </c>
      <c r="G15" s="18">
        <f>IF(E15="—","—",IFERROR(INDEX('Northeastern Courses'!$E$2:$E$39,MATCH(E15,'Northeastern Courses'!$A$2:$A$39,0)),"Not in sheet"))</f>
        <v>4</v>
      </c>
      <c r="H15" s="15" t="s">
        <v>423</v>
      </c>
      <c r="I15" s="19" t="s">
        <v>349</v>
      </c>
      <c r="J15" s="15" t="str">
        <f>IF(I15="—","—",IFERROR(INDEX('NYU Courses'!$B$2:$B$39,MATCH(I15,'NYU Courses'!$A$2:$A$39,0)),"Not in sheet"))</f>
        <v>Intermediate Microeconomics</v>
      </c>
      <c r="K15" s="18">
        <f>IF(I15="—","—",IFERROR(INDEX('NYU Courses'!$E$2:$E$39,MATCH(I15,'NYU Courses'!$A$2:$A$39,0)),"Not in sheet"))</f>
        <v>4</v>
      </c>
      <c r="L15" s="15" t="s">
        <v>423</v>
      </c>
      <c r="M15" s="15" t="s">
        <v>439</v>
      </c>
    </row>
    <row r="16" spans="1:13" x14ac:dyDescent="0.3">
      <c r="A16" s="19" t="s">
        <v>172</v>
      </c>
      <c r="B16" s="15" t="str">
        <f>IF(A16="—","—",IFERROR(INDEX('BU Courses'!$B$2:$B$42,MATCH(A16,'BU Courses'!$A$2:$A$42,0)),"Not in sheet"))</f>
        <v>Intermediate Macroeconomic Analysis</v>
      </c>
      <c r="C16" s="15" t="str">
        <f>IF(A16="—","—",IFERROR(INDEX('BU Courses'!$C$2:$C$42,MATCH(A16,'BU Courses'!$A$2:$A$42,0)),"Not in sheet"))</f>
        <v>Economics</v>
      </c>
      <c r="D16" s="18">
        <f>IF(A16="—","—",IFERROR(INDEX('BU Courses'!$E$2:$E$42,MATCH(A16,'BU Courses'!$A$2:$A$42,0)),"Not in sheet"))</f>
        <v>4</v>
      </c>
      <c r="E16" s="19" t="s">
        <v>275</v>
      </c>
      <c r="F16" s="15" t="str">
        <f>IF(E16="—","—",IFERROR(INDEX('Northeastern Courses'!$B$2:$B$39,MATCH(E16,'Northeastern Courses'!$A$2:$A$39,0)),"Not in sheet"))</f>
        <v>Macroeconomic Theory</v>
      </c>
      <c r="G16" s="18">
        <f>IF(E16="—","—",IFERROR(INDEX('Northeastern Courses'!$E$2:$E$39,MATCH(E16,'Northeastern Courses'!$A$2:$A$39,0)),"Not in sheet"))</f>
        <v>4</v>
      </c>
      <c r="H16" s="15" t="s">
        <v>423</v>
      </c>
      <c r="I16" s="19" t="s">
        <v>353</v>
      </c>
      <c r="J16" s="15" t="str">
        <f>IF(I16="—","—",IFERROR(INDEX('NYU Courses'!$B$2:$B$39,MATCH(I16,'NYU Courses'!$A$2:$A$39,0)),"Not in sheet"))</f>
        <v>Intermediate Macroeconomics</v>
      </c>
      <c r="K16" s="18">
        <f>IF(I16="—","—",IFERROR(INDEX('NYU Courses'!$E$2:$E$39,MATCH(I16,'NYU Courses'!$A$2:$A$39,0)),"Not in sheet"))</f>
        <v>4</v>
      </c>
      <c r="L16" s="15" t="s">
        <v>423</v>
      </c>
      <c r="M16" s="15" t="s">
        <v>439</v>
      </c>
    </row>
    <row r="17" spans="1:13" x14ac:dyDescent="0.3">
      <c r="A17" s="19" t="s">
        <v>174</v>
      </c>
      <c r="B17" s="15" t="str">
        <f>IF(A17="—","—",IFERROR(INDEX('BU Courses'!$B$2:$B$42,MATCH(A17,'BU Courses'!$A$2:$A$42,0)),"Not in sheet"))</f>
        <v>Empirical Economics 1</v>
      </c>
      <c r="C17" s="15" t="str">
        <f>IF(A17="—","—",IFERROR(INDEX('BU Courses'!$C$2:$C$42,MATCH(A17,'BU Courses'!$A$2:$A$42,0)),"Not in sheet"))</f>
        <v>Economics</v>
      </c>
      <c r="D17" s="18">
        <f>IF(A17="—","—",IFERROR(INDEX('BU Courses'!$E$2:$E$42,MATCH(A17,'BU Courses'!$A$2:$A$42,0)),"Not in sheet"))</f>
        <v>4</v>
      </c>
      <c r="E17" s="19" t="s">
        <v>277</v>
      </c>
      <c r="F17" s="15" t="str">
        <f>IF(E17="—","—",IFERROR(INDEX('Northeastern Courses'!$B$2:$B$39,MATCH(E17,'Northeastern Courses'!$A$2:$A$39,0)),"Not in sheet"))</f>
        <v>Statistics for Economists</v>
      </c>
      <c r="G17" s="18">
        <f>IF(E17="—","—",IFERROR(INDEX('Northeastern Courses'!$E$2:$E$39,MATCH(E17,'Northeastern Courses'!$A$2:$A$39,0)),"Not in sheet"))</f>
        <v>4</v>
      </c>
      <c r="H17" s="15" t="s">
        <v>423</v>
      </c>
      <c r="I17" s="19" t="s">
        <v>356</v>
      </c>
      <c r="J17" s="15" t="str">
        <f>IF(I17="—","—",IFERROR(INDEX('NYU Courses'!$B$2:$B$39,MATCH(I17,'NYU Courses'!$A$2:$A$39,0)),"Not in sheet"))</f>
        <v>Statistics</v>
      </c>
      <c r="K17" s="18">
        <f>IF(I17="—","—",IFERROR(INDEX('NYU Courses'!$E$2:$E$39,MATCH(I17,'NYU Courses'!$A$2:$A$39,0)),"Not in sheet"))</f>
        <v>4</v>
      </c>
      <c r="L17" s="15" t="s">
        <v>423</v>
      </c>
      <c r="M17" s="15" t="s">
        <v>440</v>
      </c>
    </row>
    <row r="18" spans="1:13" x14ac:dyDescent="0.3">
      <c r="A18" s="19" t="s">
        <v>177</v>
      </c>
      <c r="B18" s="15" t="str">
        <f>IF(A18="—","—",IFERROR(INDEX('BU Courses'!$B$2:$B$42,MATCH(A18,'BU Courses'!$A$2:$A$42,0)),"Not in sheet"))</f>
        <v>Empirical Economics 2</v>
      </c>
      <c r="C18" s="15" t="str">
        <f>IF(A18="—","—",IFERROR(INDEX('BU Courses'!$C$2:$C$42,MATCH(A18,'BU Courses'!$A$2:$A$42,0)),"Not in sheet"))</f>
        <v>Economics</v>
      </c>
      <c r="D18" s="18">
        <f>IF(A18="—","—",IFERROR(INDEX('BU Courses'!$E$2:$E$42,MATCH(A18,'BU Courses'!$A$2:$A$42,0)),"Not in sheet"))</f>
        <v>4</v>
      </c>
      <c r="E18" s="19" t="s">
        <v>280</v>
      </c>
      <c r="F18" s="15" t="str">
        <f>IF(E18="—","—",IFERROR(INDEX('Northeastern Courses'!$B$2:$B$39,MATCH(E18,'Northeastern Courses'!$A$2:$A$39,0)),"Not in sheet"))</f>
        <v>Applied Econometrics</v>
      </c>
      <c r="G18" s="18">
        <f>IF(E18="—","—",IFERROR(INDEX('Northeastern Courses'!$E$2:$E$39,MATCH(E18,'Northeastern Courses'!$A$2:$A$39,0)),"Not in sheet"))</f>
        <v>4</v>
      </c>
      <c r="H18" s="15" t="s">
        <v>425</v>
      </c>
      <c r="I18" s="19" t="s">
        <v>359</v>
      </c>
      <c r="J18" s="15" t="str">
        <f>IF(I18="—","—",IFERROR(INDEX('NYU Courses'!$B$2:$B$39,MATCH(I18,'NYU Courses'!$A$2:$A$39,0)),"Not in sheet"))</f>
        <v>Intro to Econometrics</v>
      </c>
      <c r="K18" s="18">
        <f>IF(I18="—","—",IFERROR(INDEX('NYU Courses'!$E$2:$E$39,MATCH(I18,'NYU Courses'!$A$2:$A$39,0)),"Not in sheet"))</f>
        <v>4</v>
      </c>
      <c r="L18" s="15" t="s">
        <v>425</v>
      </c>
      <c r="M18" s="15" t="s">
        <v>441</v>
      </c>
    </row>
    <row r="19" spans="1:13" x14ac:dyDescent="0.3">
      <c r="A19" s="19" t="s">
        <v>179</v>
      </c>
      <c r="B19" s="15" t="str">
        <f>IF(A19="—","—",IFERROR(INDEX('BU Courses'!$B$2:$B$42,MATCH(A19,'BU Courses'!$A$2:$A$42,0)),"Not in sheet"))</f>
        <v>General Psychology</v>
      </c>
      <c r="C19" s="15" t="str">
        <f>IF(A19="—","—",IFERROR(INDEX('BU Courses'!$C$2:$C$42,MATCH(A19,'BU Courses'!$A$2:$A$42,0)),"Not in sheet"))</f>
        <v>Psychology</v>
      </c>
      <c r="D19" s="18">
        <f>IF(A19="—","—",IFERROR(INDEX('BU Courses'!$E$2:$E$42,MATCH(A19,'BU Courses'!$A$2:$A$42,0)),"Not in sheet"))</f>
        <v>4</v>
      </c>
      <c r="E19" s="19" t="s">
        <v>282</v>
      </c>
      <c r="F19" s="15" t="str">
        <f>IF(E19="—","—",IFERROR(INDEX('Northeastern Courses'!$B$2:$B$39,MATCH(E19,'Northeastern Courses'!$A$2:$A$39,0)),"Not in sheet"))</f>
        <v>Foundations of Psychology</v>
      </c>
      <c r="G19" s="18">
        <f>IF(E19="—","—",IFERROR(INDEX('Northeastern Courses'!$E$2:$E$39,MATCH(E19,'Northeastern Courses'!$A$2:$A$39,0)),"Not in sheet"))</f>
        <v>4</v>
      </c>
      <c r="H19" s="15" t="s">
        <v>423</v>
      </c>
      <c r="I19" s="19" t="s">
        <v>361</v>
      </c>
      <c r="J19" s="15" t="str">
        <f>IF(I19="—","—",IFERROR(INDEX('NYU Courses'!$B$2:$B$39,MATCH(I19,'NYU Courses'!$A$2:$A$39,0)),"Not in sheet"))</f>
        <v>Intro to Psychology</v>
      </c>
      <c r="K19" s="18">
        <f>IF(I19="—","—",IFERROR(INDEX('NYU Courses'!$E$2:$E$39,MATCH(I19,'NYU Courses'!$A$2:$A$39,0)),"Not in sheet"))</f>
        <v>4</v>
      </c>
      <c r="L19" s="15" t="s">
        <v>423</v>
      </c>
      <c r="M19" s="15" t="s">
        <v>442</v>
      </c>
    </row>
    <row r="20" spans="1:13" ht="26.4" x14ac:dyDescent="0.3">
      <c r="A20" s="19" t="s">
        <v>182</v>
      </c>
      <c r="B20" s="15" t="str">
        <f>IF(A20="—","—",IFERROR(INDEX('BU Courses'!$B$2:$B$42,MATCH(A20,'BU Courses'!$A$2:$A$42,0)),"Not in sheet"))</f>
        <v>Experimental Design in Psychology</v>
      </c>
      <c r="C20" s="15" t="str">
        <f>IF(A20="—","—",IFERROR(INDEX('BU Courses'!$C$2:$C$42,MATCH(A20,'BU Courses'!$A$2:$A$42,0)),"Not in sheet"))</f>
        <v>Psychology</v>
      </c>
      <c r="D20" s="18">
        <f>IF(A20="—","—",IFERROR(INDEX('BU Courses'!$E$2:$E$42,MATCH(A20,'BU Courses'!$A$2:$A$42,0)),"Not in sheet"))</f>
        <v>4</v>
      </c>
      <c r="E20" s="19" t="s">
        <v>284</v>
      </c>
      <c r="F20" s="15" t="str">
        <f>IF(E20="—","—",IFERROR(INDEX('Northeastern Courses'!$B$2:$B$39,MATCH(E20,'Northeastern Courses'!$A$2:$A$39,0)),"Not in sheet"))</f>
        <v>Statistics in Psychological Research</v>
      </c>
      <c r="G20" s="18">
        <f>IF(E20="—","—",IFERROR(INDEX('Northeastern Courses'!$E$2:$E$39,MATCH(E20,'Northeastern Courses'!$A$2:$A$39,0)),"Not in sheet"))</f>
        <v>4</v>
      </c>
      <c r="H20" s="15" t="s">
        <v>425</v>
      </c>
      <c r="I20" s="19" t="s">
        <v>363</v>
      </c>
      <c r="J20" s="15" t="str">
        <f>IF(I20="—","—",IFERROR(INDEX('NYU Courses'!$B$2:$B$39,MATCH(I20,'NYU Courses'!$A$2:$A$39,0)),"Not in sheet"))</f>
        <v>Statistics for the Behavioral Sciences</v>
      </c>
      <c r="K20" s="18">
        <f>IF(I20="—","—",IFERROR(INDEX('NYU Courses'!$E$2:$E$39,MATCH(I20,'NYU Courses'!$A$2:$A$39,0)),"Not in sheet"))</f>
        <v>4</v>
      </c>
      <c r="L20" s="15" t="s">
        <v>425</v>
      </c>
      <c r="M20" s="15" t="s">
        <v>443</v>
      </c>
    </row>
    <row r="21" spans="1:13" ht="26.4" x14ac:dyDescent="0.3">
      <c r="A21" s="19" t="s">
        <v>186</v>
      </c>
      <c r="B21" s="15" t="str">
        <f>IF(A21="—","—",IFERROR(INDEX('BU Courses'!$B$2:$B$42,MATCH(A21,'BU Courses'!$A$2:$A$42,0)),"Not in sheet"))</f>
        <v>Physiological Psychology</v>
      </c>
      <c r="C21" s="15" t="str">
        <f>IF(A21="—","—",IFERROR(INDEX('BU Courses'!$C$2:$C$42,MATCH(A21,'BU Courses'!$A$2:$A$42,0)),"Not in sheet"))</f>
        <v>Psychology</v>
      </c>
      <c r="D21" s="18">
        <f>IF(A21="—","—",IFERROR(INDEX('BU Courses'!$E$2:$E$42,MATCH(A21,'BU Courses'!$A$2:$A$42,0)),"Not in sheet"))</f>
        <v>4</v>
      </c>
      <c r="E21" s="19" t="s">
        <v>286</v>
      </c>
      <c r="F21" s="15" t="str">
        <f>IF(E21="—","—",IFERROR(INDEX('Northeastern Courses'!$B$2:$B$39,MATCH(E21,'Northeastern Courses'!$A$2:$A$39,0)),"Not in sheet"))</f>
        <v>Biological Psychology</v>
      </c>
      <c r="G21" s="18">
        <f>IF(E21="—","—",IFERROR(INDEX('Northeastern Courses'!$E$2:$E$39,MATCH(E21,'Northeastern Courses'!$A$2:$A$39,0)),"Not in sheet"))</f>
        <v>4</v>
      </c>
      <c r="H21" s="15" t="s">
        <v>423</v>
      </c>
      <c r="I21" s="19" t="s">
        <v>370</v>
      </c>
      <c r="J21" s="15" t="str">
        <f>IF(I21="—","—",IFERROR(INDEX('NYU Courses'!$B$2:$B$39,MATCH(I21,'NYU Courses'!$A$2:$A$39,0)),"Not in sheet"))</f>
        <v>Cognitive Neuroscience</v>
      </c>
      <c r="K21" s="18">
        <f>IF(I21="—","—",IFERROR(INDEX('NYU Courses'!$E$2:$E$39,MATCH(I21,'NYU Courses'!$A$2:$A$39,0)),"Not in sheet"))</f>
        <v>4</v>
      </c>
      <c r="L21" s="15" t="s">
        <v>425</v>
      </c>
      <c r="M21" s="15" t="s">
        <v>444</v>
      </c>
    </row>
    <row r="22" spans="1:13" x14ac:dyDescent="0.3">
      <c r="A22" s="19" t="s">
        <v>189</v>
      </c>
      <c r="B22" s="15" t="str">
        <f>IF(A22="—","—",IFERROR(INDEX('BU Courses'!$B$2:$B$42,MATCH(A22,'BU Courses'!$A$2:$A$42,0)),"Not in sheet"))</f>
        <v>Perception and Behavior</v>
      </c>
      <c r="C22" s="15" t="str">
        <f>IF(A22="—","—",IFERROR(INDEX('BU Courses'!$C$2:$C$42,MATCH(A22,'BU Courses'!$A$2:$A$42,0)),"Not in sheet"))</f>
        <v>Psychology</v>
      </c>
      <c r="D22" s="18">
        <f>IF(A22="—","—",IFERROR(INDEX('BU Courses'!$E$2:$E$42,MATCH(A22,'BU Courses'!$A$2:$A$42,0)),"Not in sheet"))</f>
        <v>4</v>
      </c>
      <c r="E22" s="19" t="s">
        <v>431</v>
      </c>
      <c r="F22" s="15" t="str">
        <f>IF(E22="—","—",IFERROR(INDEX('Northeastern Courses'!$B$2:$B$39,MATCH(E22,'Northeastern Courses'!$A$2:$A$39,0)),"Not in sheet"))</f>
        <v>—</v>
      </c>
      <c r="G22" s="18" t="str">
        <f>IF(E22="—","—",IFERROR(INDEX('Northeastern Courses'!$E$2:$E$39,MATCH(E22,'Northeastern Courses'!$A$2:$A$39,0)),"Not in sheet"))</f>
        <v>—</v>
      </c>
      <c r="H22" s="15" t="s">
        <v>432</v>
      </c>
      <c r="I22" s="19" t="s">
        <v>367</v>
      </c>
      <c r="J22" s="15" t="str">
        <f>IF(I22="—","—",IFERROR(INDEX('NYU Courses'!$B$2:$B$39,MATCH(I22,'NYU Courses'!$A$2:$A$39,0)),"Not in sheet"))</f>
        <v>Perception</v>
      </c>
      <c r="K22" s="18">
        <f>IF(I22="—","—",IFERROR(INDEX('NYU Courses'!$E$2:$E$39,MATCH(I22,'NYU Courses'!$A$2:$A$39,0)),"Not in sheet"))</f>
        <v>4</v>
      </c>
      <c r="L22" s="15" t="s">
        <v>423</v>
      </c>
      <c r="M22" s="15" t="s">
        <v>445</v>
      </c>
    </row>
    <row r="23" spans="1:13" x14ac:dyDescent="0.3">
      <c r="A23" s="19" t="s">
        <v>192</v>
      </c>
      <c r="B23" s="15" t="str">
        <f>IF(A23="—","—",IFERROR(INDEX('BU Courses'!$B$2:$B$42,MATCH(A23,'BU Courses'!$A$2:$A$42,0)),"Not in sheet"))</f>
        <v>Introduction to Cognitive Psychology</v>
      </c>
      <c r="C23" s="15" t="str">
        <f>IF(A23="—","—",IFERROR(INDEX('BU Courses'!$C$2:$C$42,MATCH(A23,'BU Courses'!$A$2:$A$42,0)),"Not in sheet"))</f>
        <v>Psychology</v>
      </c>
      <c r="D23" s="18">
        <f>IF(A23="—","—",IFERROR(INDEX('BU Courses'!$E$2:$E$42,MATCH(A23,'BU Courses'!$A$2:$A$42,0)),"Not in sheet"))</f>
        <v>4</v>
      </c>
      <c r="E23" s="19" t="s">
        <v>431</v>
      </c>
      <c r="F23" s="15" t="str">
        <f>IF(E23="—","—",IFERROR(INDEX('Northeastern Courses'!$B$2:$B$39,MATCH(E23,'Northeastern Courses'!$A$2:$A$39,0)),"Not in sheet"))</f>
        <v>—</v>
      </c>
      <c r="G23" s="18" t="str">
        <f>IF(E23="—","—",IFERROR(INDEX('Northeastern Courses'!$E$2:$E$39,MATCH(E23,'Northeastern Courses'!$A$2:$A$39,0)),"Not in sheet"))</f>
        <v>—</v>
      </c>
      <c r="H23" s="15" t="s">
        <v>432</v>
      </c>
      <c r="I23" s="19" t="s">
        <v>372</v>
      </c>
      <c r="J23" s="15" t="str">
        <f>IF(I23="—","—",IFERROR(INDEX('NYU Courses'!$B$2:$B$39,MATCH(I23,'NYU Courses'!$A$2:$A$39,0)),"Not in sheet"))</f>
        <v>Cognition</v>
      </c>
      <c r="K23" s="18">
        <f>IF(I23="—","—",IFERROR(INDEX('NYU Courses'!$E$2:$E$39,MATCH(I23,'NYU Courses'!$A$2:$A$39,0)),"Not in sheet"))</f>
        <v>4</v>
      </c>
      <c r="L23" s="15" t="s">
        <v>423</v>
      </c>
      <c r="M23" s="15" t="s">
        <v>446</v>
      </c>
    </row>
    <row r="24" spans="1:13" x14ac:dyDescent="0.3">
      <c r="A24" s="19" t="s">
        <v>194</v>
      </c>
      <c r="B24" s="15" t="str">
        <f>IF(A24="—","—",IFERROR(INDEX('BU Courses'!$B$2:$B$42,MATCH(A24,'BU Courses'!$A$2:$A$42,0)),"Not in sheet"))</f>
        <v>Developmental Psychology</v>
      </c>
      <c r="C24" s="15" t="str">
        <f>IF(A24="—","—",IFERROR(INDEX('BU Courses'!$C$2:$C$42,MATCH(A24,'BU Courses'!$A$2:$A$42,0)),"Not in sheet"))</f>
        <v>Psychology</v>
      </c>
      <c r="D24" s="18">
        <f>IF(A24="—","—",IFERROR(INDEX('BU Courses'!$E$2:$E$42,MATCH(A24,'BU Courses'!$A$2:$A$42,0)),"Not in sheet"))</f>
        <v>4</v>
      </c>
      <c r="E24" s="19" t="s">
        <v>290</v>
      </c>
      <c r="F24" s="15" t="str">
        <f>IF(E24="—","—",IFERROR(INDEX('Northeastern Courses'!$B$2:$B$39,MATCH(E24,'Northeastern Courses'!$A$2:$A$39,0)),"Not in sheet"))</f>
        <v>Developmental Psychology</v>
      </c>
      <c r="G24" s="18">
        <f>IF(E24="—","—",IFERROR(INDEX('Northeastern Courses'!$E$2:$E$39,MATCH(E24,'Northeastern Courses'!$A$2:$A$39,0)),"Not in sheet"))</f>
        <v>4</v>
      </c>
      <c r="H24" s="15" t="s">
        <v>423</v>
      </c>
      <c r="I24" s="19" t="s">
        <v>377</v>
      </c>
      <c r="J24" s="15" t="str">
        <f>IF(I24="—","—",IFERROR(INDEX('NYU Courses'!$B$2:$B$39,MATCH(I24,'NYU Courses'!$A$2:$A$39,0)),"Not in sheet"))</f>
        <v>Developmental Psychology</v>
      </c>
      <c r="K24" s="18">
        <f>IF(I24="—","—",IFERROR(INDEX('NYU Courses'!$E$2:$E$39,MATCH(I24,'NYU Courses'!$A$2:$A$39,0)),"Not in sheet"))</f>
        <v>4</v>
      </c>
      <c r="L24" s="15" t="s">
        <v>423</v>
      </c>
      <c r="M24" s="15" t="s">
        <v>447</v>
      </c>
    </row>
    <row r="25" spans="1:13" ht="26.4" x14ac:dyDescent="0.3">
      <c r="A25" s="19" t="s">
        <v>197</v>
      </c>
      <c r="B25" s="15" t="str">
        <f>IF(A25="—","—",IFERROR(INDEX('BU Courses'!$B$2:$B$42,MATCH(A25,'BU Courses'!$A$2:$A$42,0)),"Not in sheet"))</f>
        <v>Psychology of Personality: Theories and Application</v>
      </c>
      <c r="C25" s="15" t="str">
        <f>IF(A25="—","—",IFERROR(INDEX('BU Courses'!$C$2:$C$42,MATCH(A25,'BU Courses'!$A$2:$A$42,0)),"Not in sheet"))</f>
        <v>Psychology</v>
      </c>
      <c r="D25" s="18">
        <f>IF(A25="—","—",IFERROR(INDEX('BU Courses'!$E$2:$E$42,MATCH(A25,'BU Courses'!$A$2:$A$42,0)),"Not in sheet"))</f>
        <v>4</v>
      </c>
      <c r="E25" s="19" t="s">
        <v>431</v>
      </c>
      <c r="F25" s="15" t="str">
        <f>IF(E25="—","—",IFERROR(INDEX('Northeastern Courses'!$B$2:$B$39,MATCH(E25,'Northeastern Courses'!$A$2:$A$39,0)),"Not in sheet"))</f>
        <v>—</v>
      </c>
      <c r="G25" s="18" t="str">
        <f>IF(E25="—","—",IFERROR(INDEX('Northeastern Courses'!$E$2:$E$39,MATCH(E25,'Northeastern Courses'!$A$2:$A$39,0)),"Not in sheet"))</f>
        <v>—</v>
      </c>
      <c r="H25" s="15" t="s">
        <v>432</v>
      </c>
      <c r="I25" s="19" t="s">
        <v>374</v>
      </c>
      <c r="J25" s="15" t="str">
        <f>IF(I25="—","—",IFERROR(INDEX('NYU Courses'!$B$2:$B$39,MATCH(I25,'NYU Courses'!$A$2:$A$39,0)),"Not in sheet"))</f>
        <v>Personality</v>
      </c>
      <c r="K25" s="18">
        <f>IF(I25="—","—",IFERROR(INDEX('NYU Courses'!$E$2:$E$39,MATCH(I25,'NYU Courses'!$A$2:$A$39,0)),"Not in sheet"))</f>
        <v>4</v>
      </c>
      <c r="L25" s="15" t="s">
        <v>423</v>
      </c>
      <c r="M25" s="15" t="s">
        <v>448</v>
      </c>
    </row>
    <row r="26" spans="1:13" x14ac:dyDescent="0.3">
      <c r="A26" s="19" t="s">
        <v>199</v>
      </c>
      <c r="B26" s="15" t="str">
        <f>IF(A26="—","—",IFERROR(INDEX('BU Courses'!$B$2:$B$42,MATCH(A26,'BU Courses'!$A$2:$A$42,0)),"Not in sheet"))</f>
        <v>Social Psychology</v>
      </c>
      <c r="C26" s="15" t="str">
        <f>IF(A26="—","—",IFERROR(INDEX('BU Courses'!$C$2:$C$42,MATCH(A26,'BU Courses'!$A$2:$A$42,0)),"Not in sheet"))</f>
        <v>Psychology</v>
      </c>
      <c r="D26" s="18">
        <f>IF(A26="—","—",IFERROR(INDEX('BU Courses'!$E$2:$E$42,MATCH(A26,'BU Courses'!$A$2:$A$42,0)),"Not in sheet"))</f>
        <v>4</v>
      </c>
      <c r="E26" s="19" t="s">
        <v>289</v>
      </c>
      <c r="F26" s="15" t="str">
        <f>IF(E26="—","—",IFERROR(INDEX('Northeastern Courses'!$B$2:$B$39,MATCH(E26,'Northeastern Courses'!$A$2:$A$39,0)),"Not in sheet"))</f>
        <v>Social Psychology</v>
      </c>
      <c r="G26" s="18">
        <f>IF(E26="—","—",IFERROR(INDEX('Northeastern Courses'!$E$2:$E$39,MATCH(E26,'Northeastern Courses'!$A$2:$A$39,0)),"Not in sheet"))</f>
        <v>4</v>
      </c>
      <c r="H26" s="15" t="s">
        <v>423</v>
      </c>
      <c r="I26" s="19" t="s">
        <v>376</v>
      </c>
      <c r="J26" s="15" t="str">
        <f>IF(I26="—","—",IFERROR(INDEX('NYU Courses'!$B$2:$B$39,MATCH(I26,'NYU Courses'!$A$2:$A$39,0)),"Not in sheet"))</f>
        <v>Social Psychology</v>
      </c>
      <c r="K26" s="18">
        <f>IF(I26="—","—",IFERROR(INDEX('NYU Courses'!$E$2:$E$39,MATCH(I26,'NYU Courses'!$A$2:$A$39,0)),"Not in sheet"))</f>
        <v>4</v>
      </c>
      <c r="L26" s="15" t="s">
        <v>423</v>
      </c>
      <c r="M26" s="15" t="s">
        <v>449</v>
      </c>
    </row>
    <row r="27" spans="1:13" ht="26.4" x14ac:dyDescent="0.3">
      <c r="A27" s="19" t="s">
        <v>201</v>
      </c>
      <c r="B27" s="15" t="str">
        <f>IF(A27="—","—",IFERROR(INDEX('BU Courses'!$B$2:$B$42,MATCH(A27,'BU Courses'!$A$2:$A$42,0)),"Not in sheet"))</f>
        <v>Psychopathology</v>
      </c>
      <c r="C27" s="15" t="str">
        <f>IF(A27="—","—",IFERROR(INDEX('BU Courses'!$C$2:$C$42,MATCH(A27,'BU Courses'!$A$2:$A$42,0)),"Not in sheet"))</f>
        <v>Psychology</v>
      </c>
      <c r="D27" s="18">
        <f>IF(A27="—","—",IFERROR(INDEX('BU Courses'!$E$2:$E$42,MATCH(A27,'BU Courses'!$A$2:$A$42,0)),"Not in sheet"))</f>
        <v>4</v>
      </c>
      <c r="E27" s="19" t="s">
        <v>431</v>
      </c>
      <c r="F27" s="15" t="str">
        <f>IF(E27="—","—",IFERROR(INDEX('Northeastern Courses'!$B$2:$B$39,MATCH(E27,'Northeastern Courses'!$A$2:$A$39,0)),"Not in sheet"))</f>
        <v>—</v>
      </c>
      <c r="G27" s="18" t="str">
        <f>IF(E27="—","—",IFERROR(INDEX('Northeastern Courses'!$E$2:$E$39,MATCH(E27,'Northeastern Courses'!$A$2:$A$39,0)),"Not in sheet"))</f>
        <v>—</v>
      </c>
      <c r="H27" s="15" t="s">
        <v>432</v>
      </c>
      <c r="I27" s="19" t="s">
        <v>378</v>
      </c>
      <c r="J27" s="15" t="str">
        <f>IF(I27="—","—",IFERROR(INDEX('NYU Courses'!$B$2:$B$39,MATCH(I27,'NYU Courses'!$A$2:$A$39,0)),"Not in sheet"))</f>
        <v>Abnormal Psychology</v>
      </c>
      <c r="K27" s="18">
        <f>IF(I27="—","—",IFERROR(INDEX('NYU Courses'!$E$2:$E$39,MATCH(I27,'NYU Courses'!$A$2:$A$39,0)),"Not in sheet"))</f>
        <v>4</v>
      </c>
      <c r="L27" s="15" t="s">
        <v>423</v>
      </c>
      <c r="M27" s="15" t="s">
        <v>450</v>
      </c>
    </row>
    <row r="28" spans="1:13" x14ac:dyDescent="0.3">
      <c r="A28" s="19" t="s">
        <v>204</v>
      </c>
      <c r="B28" s="15" t="str">
        <f>IF(A28="—","—",IFERROR(INDEX('BU Courses'!$B$2:$B$42,MATCH(A28,'BU Courses'!$A$2:$A$42,0)),"Not in sheet"))</f>
        <v>Biology 1</v>
      </c>
      <c r="C28" s="15" t="str">
        <f>IF(A28="—","—",IFERROR(INDEX('BU Courses'!$C$2:$C$42,MATCH(A28,'BU Courses'!$A$2:$A$42,0)),"Not in sheet"))</f>
        <v>Biology</v>
      </c>
      <c r="D28" s="18">
        <f>IF(A28="—","—",IFERROR(INDEX('BU Courses'!$E$2:$E$42,MATCH(A28,'BU Courses'!$A$2:$A$42,0)),"Not in sheet"))</f>
        <v>4</v>
      </c>
      <c r="E28" s="19" t="s">
        <v>293</v>
      </c>
      <c r="F28" s="15" t="str">
        <f>IF(E28="—","—",IFERROR(INDEX('Northeastern Courses'!$B$2:$B$39,MATCH(E28,'Northeastern Courses'!$A$2:$A$39,0)),"Not in sheet"))</f>
        <v>Foundations of Biology</v>
      </c>
      <c r="G28" s="18">
        <f>IF(E28="—","—",IFERROR(INDEX('Northeastern Courses'!$E$2:$E$39,MATCH(E28,'Northeastern Courses'!$A$2:$A$39,0)),"Not in sheet"))</f>
        <v>5</v>
      </c>
      <c r="H28" s="15" t="s">
        <v>423</v>
      </c>
      <c r="I28" s="19" t="s">
        <v>381</v>
      </c>
      <c r="J28" s="15" t="str">
        <f>IF(I28="—","—",IFERROR(INDEX('NYU Courses'!$B$2:$B$39,MATCH(I28,'NYU Courses'!$A$2:$A$39,0)),"Not in sheet"))</f>
        <v>Principles of Biology I</v>
      </c>
      <c r="K28" s="18">
        <f>IF(I28="—","—",IFERROR(INDEX('NYU Courses'!$E$2:$E$39,MATCH(I28,'NYU Courses'!$A$2:$A$39,0)),"Not in sheet"))</f>
        <v>4</v>
      </c>
      <c r="L28" s="15" t="s">
        <v>423</v>
      </c>
      <c r="M28" s="15" t="s">
        <v>451</v>
      </c>
    </row>
    <row r="29" spans="1:13" x14ac:dyDescent="0.3">
      <c r="A29" s="19" t="s">
        <v>206</v>
      </c>
      <c r="B29" s="15" t="str">
        <f>IF(A29="—","—",IFERROR(INDEX('BU Courses'!$B$2:$B$42,MATCH(A29,'BU Courses'!$A$2:$A$42,0)),"Not in sheet"))</f>
        <v>Biology 2</v>
      </c>
      <c r="C29" s="15" t="str">
        <f>IF(A29="—","—",IFERROR(INDEX('BU Courses'!$C$2:$C$42,MATCH(A29,'BU Courses'!$A$2:$A$42,0)),"Not in sheet"))</f>
        <v>Biology</v>
      </c>
      <c r="D29" s="18">
        <f>IF(A29="—","—",IFERROR(INDEX('BU Courses'!$E$2:$E$42,MATCH(A29,'BU Courses'!$A$2:$A$42,0)),"Not in sheet"))</f>
        <v>4</v>
      </c>
      <c r="E29" s="19" t="s">
        <v>296</v>
      </c>
      <c r="F29" s="15" t="str">
        <f>IF(E29="—","—",IFERROR(INDEX('Northeastern Courses'!$B$2:$B$39,MATCH(E29,'Northeastern Courses'!$A$2:$A$39,0)),"Not in sheet"))</f>
        <v>General Biology 2</v>
      </c>
      <c r="G29" s="18">
        <f>IF(E29="—","—",IFERROR(INDEX('Northeastern Courses'!$E$2:$E$39,MATCH(E29,'Northeastern Courses'!$A$2:$A$39,0)),"Not in sheet"))</f>
        <v>4</v>
      </c>
      <c r="H29" s="15" t="s">
        <v>423</v>
      </c>
      <c r="I29" s="19" t="s">
        <v>383</v>
      </c>
      <c r="J29" s="15" t="str">
        <f>IF(I29="—","—",IFERROR(INDEX('NYU Courses'!$B$2:$B$39,MATCH(I29,'NYU Courses'!$A$2:$A$39,0)),"Not in sheet"))</f>
        <v>Principles of Biology II</v>
      </c>
      <c r="K29" s="18">
        <f>IF(I29="—","—",IFERROR(INDEX('NYU Courses'!$E$2:$E$39,MATCH(I29,'NYU Courses'!$A$2:$A$39,0)),"Not in sheet"))</f>
        <v>4</v>
      </c>
      <c r="L29" s="15" t="s">
        <v>423</v>
      </c>
      <c r="M29" s="15" t="s">
        <v>452</v>
      </c>
    </row>
    <row r="30" spans="1:13" x14ac:dyDescent="0.3">
      <c r="A30" s="19" t="s">
        <v>208</v>
      </c>
      <c r="B30" s="15" t="str">
        <f>IF(A30="—","—",IFERROR(INDEX('BU Courses'!$B$2:$B$42,MATCH(A30,'BU Courses'!$A$2:$A$42,0)),"Not in sheet"))</f>
        <v>Cell Biology</v>
      </c>
      <c r="C30" s="15" t="str">
        <f>IF(A30="—","—",IFERROR(INDEX('BU Courses'!$C$2:$C$42,MATCH(A30,'BU Courses'!$A$2:$A$42,0)),"Not in sheet"))</f>
        <v>Biology</v>
      </c>
      <c r="D30" s="18">
        <f>IF(A30="—","—",IFERROR(INDEX('BU Courses'!$E$2:$E$42,MATCH(A30,'BU Courses'!$A$2:$A$42,0)),"Not in sheet"))</f>
        <v>4</v>
      </c>
      <c r="E30" s="19" t="s">
        <v>431</v>
      </c>
      <c r="F30" s="15" t="str">
        <f>IF(E30="—","—",IFERROR(INDEX('Northeastern Courses'!$B$2:$B$39,MATCH(E30,'Northeastern Courses'!$A$2:$A$39,0)),"Not in sheet"))</f>
        <v>—</v>
      </c>
      <c r="G30" s="18" t="str">
        <f>IF(E30="—","—",IFERROR(INDEX('Northeastern Courses'!$E$2:$E$39,MATCH(E30,'Northeastern Courses'!$A$2:$A$39,0)),"Not in sheet"))</f>
        <v>—</v>
      </c>
      <c r="H30" s="15" t="s">
        <v>432</v>
      </c>
      <c r="I30" s="19" t="s">
        <v>385</v>
      </c>
      <c r="J30" s="15" t="str">
        <f>IF(I30="—","—",IFERROR(INDEX('NYU Courses'!$B$2:$B$39,MATCH(I30,'NYU Courses'!$A$2:$A$39,0)),"Not in sheet"))</f>
        <v>Molecular and Cell Biology I</v>
      </c>
      <c r="K30" s="18">
        <f>IF(I30="—","—",IFERROR(INDEX('NYU Courses'!$E$2:$E$39,MATCH(I30,'NYU Courses'!$A$2:$A$39,0)),"Not in sheet"))</f>
        <v>4</v>
      </c>
      <c r="L30" s="15" t="s">
        <v>425</v>
      </c>
      <c r="M30" s="15" t="s">
        <v>453</v>
      </c>
    </row>
    <row r="31" spans="1:13" x14ac:dyDescent="0.3">
      <c r="A31" s="19" t="s">
        <v>211</v>
      </c>
      <c r="B31" s="15" t="str">
        <f>IF(A31="—","—",IFERROR(INDEX('BU Courses'!$B$2:$B$42,MATCH(A31,'BU Courses'!$A$2:$A$42,0)),"Not in sheet"))</f>
        <v>Genetics</v>
      </c>
      <c r="C31" s="15" t="str">
        <f>IF(A31="—","—",IFERROR(INDEX('BU Courses'!$C$2:$C$42,MATCH(A31,'BU Courses'!$A$2:$A$42,0)),"Not in sheet"))</f>
        <v>Biology</v>
      </c>
      <c r="D31" s="18">
        <f>IF(A31="—","—",IFERROR(INDEX('BU Courses'!$E$2:$E$42,MATCH(A31,'BU Courses'!$A$2:$A$42,0)),"Not in sheet"))</f>
        <v>4</v>
      </c>
      <c r="E31" s="19" t="s">
        <v>303</v>
      </c>
      <c r="F31" s="15" t="str">
        <f>IF(E31="—","—",IFERROR(INDEX('Northeastern Courses'!$B$2:$B$39,MATCH(E31,'Northeastern Courses'!$A$2:$A$39,0)),"Not in sheet"))</f>
        <v>Genetics and Molecular Biology</v>
      </c>
      <c r="G31" s="18">
        <f>IF(E31="—","—",IFERROR(INDEX('Northeastern Courses'!$E$2:$E$39,MATCH(E31,'Northeastern Courses'!$A$2:$A$39,0)),"Not in sheet"))</f>
        <v>5</v>
      </c>
      <c r="H31" s="15" t="s">
        <v>425</v>
      </c>
      <c r="I31" s="19" t="s">
        <v>387</v>
      </c>
      <c r="J31" s="15" t="str">
        <f>IF(I31="—","—",IFERROR(INDEX('NYU Courses'!$B$2:$B$39,MATCH(I31,'NYU Courses'!$A$2:$A$39,0)),"Not in sheet"))</f>
        <v>Genetics</v>
      </c>
      <c r="K31" s="18">
        <f>IF(I31="—","—",IFERROR(INDEX('NYU Courses'!$E$2:$E$39,MATCH(I31,'NYU Courses'!$A$2:$A$39,0)),"Not in sheet"))</f>
        <v>4</v>
      </c>
      <c r="L31" s="15" t="s">
        <v>423</v>
      </c>
      <c r="M31" s="15" t="s">
        <v>454</v>
      </c>
    </row>
    <row r="32" spans="1:13" ht="26.4" x14ac:dyDescent="0.3">
      <c r="A32" s="19" t="s">
        <v>213</v>
      </c>
      <c r="B32" s="15" t="str">
        <f>IF(A32="—","—",IFERROR(INDEX('BU Courses'!$B$2:$B$42,MATCH(A32,'BU Courses'!$A$2:$A$42,0)),"Not in sheet"))</f>
        <v>General Chemistry 1</v>
      </c>
      <c r="C32" s="15" t="str">
        <f>IF(A32="—","—",IFERROR(INDEX('BU Courses'!$C$2:$C$42,MATCH(A32,'BU Courses'!$A$2:$A$42,0)),"Not in sheet"))</f>
        <v>Biology</v>
      </c>
      <c r="D32" s="18">
        <f>IF(A32="—","—",IFERROR(INDEX('BU Courses'!$E$2:$E$42,MATCH(A32,'BU Courses'!$A$2:$A$42,0)),"Not in sheet"))</f>
        <v>4</v>
      </c>
      <c r="E32" s="19" t="s">
        <v>309</v>
      </c>
      <c r="F32" s="15" t="str">
        <f>IF(E32="—","—",IFERROR(INDEX('Northeastern Courses'!$B$2:$B$39,MATCH(E32,'Northeastern Courses'!$A$2:$A$39,0)),"Not in sheet"))</f>
        <v>General Chemistry for Science Majors</v>
      </c>
      <c r="G32" s="18">
        <f>IF(E32="—","—",IFERROR(INDEX('Northeastern Courses'!$E$2:$E$39,MATCH(E32,'Northeastern Courses'!$A$2:$A$39,0)),"Not in sheet"))</f>
        <v>5</v>
      </c>
      <c r="H32" s="15" t="s">
        <v>425</v>
      </c>
      <c r="I32" s="19" t="s">
        <v>390</v>
      </c>
      <c r="J32" s="15" t="str">
        <f>IF(I32="—","—",IFERROR(INDEX('NYU Courses'!$B$2:$B$39,MATCH(I32,'NYU Courses'!$A$2:$A$39,0)),"Not in sheet"))</f>
        <v>General Chemistry I</v>
      </c>
      <c r="K32" s="18">
        <f>IF(I32="—","—",IFERROR(INDEX('NYU Courses'!$E$2:$E$39,MATCH(I32,'NYU Courses'!$A$2:$A$39,0)),"Not in sheet"))</f>
        <v>5</v>
      </c>
      <c r="L32" s="15" t="s">
        <v>423</v>
      </c>
      <c r="M32" s="15" t="s">
        <v>455</v>
      </c>
    </row>
    <row r="33" spans="1:13" x14ac:dyDescent="0.3">
      <c r="A33" s="19" t="s">
        <v>216</v>
      </c>
      <c r="B33" s="15" t="str">
        <f>IF(A33="—","—",IFERROR(INDEX('BU Courses'!$B$2:$B$42,MATCH(A33,'BU Courses'!$A$2:$A$42,0)),"Not in sheet"))</f>
        <v>General Chemistry 2</v>
      </c>
      <c r="C33" s="15" t="str">
        <f>IF(A33="—","—",IFERROR(INDEX('BU Courses'!$C$2:$C$42,MATCH(A33,'BU Courses'!$A$2:$A$42,0)),"Not in sheet"))</f>
        <v>Biology</v>
      </c>
      <c r="D33" s="18">
        <f>IF(A33="—","—",IFERROR(INDEX('BU Courses'!$E$2:$E$42,MATCH(A33,'BU Courses'!$A$2:$A$42,0)),"Not in sheet"))</f>
        <v>4</v>
      </c>
      <c r="E33" s="19" t="s">
        <v>309</v>
      </c>
      <c r="F33" s="15" t="str">
        <f>IF(E33="—","—",IFERROR(INDEX('Northeastern Courses'!$B$2:$B$39,MATCH(E33,'Northeastern Courses'!$A$2:$A$39,0)),"Not in sheet"))</f>
        <v>General Chemistry for Science Majors</v>
      </c>
      <c r="G33" s="18">
        <f>IF(E33="—","—",IFERROR(INDEX('Northeastern Courses'!$E$2:$E$39,MATCH(E33,'Northeastern Courses'!$A$2:$A$39,0)),"Not in sheet"))</f>
        <v>5</v>
      </c>
      <c r="H33" s="15" t="s">
        <v>425</v>
      </c>
      <c r="I33" s="19" t="s">
        <v>394</v>
      </c>
      <c r="J33" s="15" t="str">
        <f>IF(I33="—","—",IFERROR(INDEX('NYU Courses'!$B$2:$B$39,MATCH(I33,'NYU Courses'!$A$2:$A$39,0)),"Not in sheet"))</f>
        <v>General Chemistry II</v>
      </c>
      <c r="K33" s="18">
        <f>IF(I33="—","—",IFERROR(INDEX('NYU Courses'!$E$2:$E$39,MATCH(I33,'NYU Courses'!$A$2:$A$39,0)),"Not in sheet"))</f>
        <v>5</v>
      </c>
      <c r="L33" s="15" t="s">
        <v>423</v>
      </c>
      <c r="M33" s="15" t="s">
        <v>456</v>
      </c>
    </row>
    <row r="34" spans="1:13" x14ac:dyDescent="0.3">
      <c r="A34" s="19" t="s">
        <v>218</v>
      </c>
      <c r="B34" s="15" t="str">
        <f>IF(A34="—","—",IFERROR(INDEX('BU Courses'!$B$2:$B$42,MATCH(A34,'BU Courses'!$A$2:$A$42,0)),"Not in sheet"))</f>
        <v>Organic Chemistry 1</v>
      </c>
      <c r="C34" s="15" t="str">
        <f>IF(A34="—","—",IFERROR(INDEX('BU Courses'!$C$2:$C$42,MATCH(A34,'BU Courses'!$A$2:$A$42,0)),"Not in sheet"))</f>
        <v>Biology</v>
      </c>
      <c r="D34" s="18">
        <f>IF(A34="—","—",IFERROR(INDEX('BU Courses'!$E$2:$E$42,MATCH(A34,'BU Courses'!$A$2:$A$42,0)),"Not in sheet"))</f>
        <v>4</v>
      </c>
      <c r="E34" s="19" t="s">
        <v>312</v>
      </c>
      <c r="F34" s="15" t="str">
        <f>IF(E34="—","—",IFERROR(INDEX('Northeastern Courses'!$B$2:$B$39,MATCH(E34,'Northeastern Courses'!$A$2:$A$39,0)),"Not in sheet"))</f>
        <v>Organic Chemistry 1</v>
      </c>
      <c r="G34" s="18">
        <f>IF(E34="—","—",IFERROR(INDEX('Northeastern Courses'!$E$2:$E$39,MATCH(E34,'Northeastern Courses'!$A$2:$A$39,0)),"Not in sheet"))</f>
        <v>5</v>
      </c>
      <c r="H34" s="15" t="s">
        <v>423</v>
      </c>
      <c r="I34" s="19" t="s">
        <v>396</v>
      </c>
      <c r="J34" s="15" t="str">
        <f>IF(I34="—","—",IFERROR(INDEX('NYU Courses'!$B$2:$B$39,MATCH(I34,'NYU Courses'!$A$2:$A$39,0)),"Not in sheet"))</f>
        <v>Organic Chemistry I</v>
      </c>
      <c r="K34" s="18">
        <f>IF(I34="—","—",IFERROR(INDEX('NYU Courses'!$E$2:$E$39,MATCH(I34,'NYU Courses'!$A$2:$A$39,0)),"Not in sheet"))</f>
        <v>5</v>
      </c>
      <c r="L34" s="15" t="s">
        <v>423</v>
      </c>
      <c r="M34" s="15" t="s">
        <v>457</v>
      </c>
    </row>
    <row r="35" spans="1:13" x14ac:dyDescent="0.3">
      <c r="A35" s="19" t="s">
        <v>220</v>
      </c>
      <c r="B35" s="15" t="str">
        <f>IF(A35="—","—",IFERROR(INDEX('BU Courses'!$B$2:$B$42,MATCH(A35,'BU Courses'!$A$2:$A$42,0)),"Not in sheet"))</f>
        <v>Organic Chemistry 2</v>
      </c>
      <c r="C35" s="15" t="str">
        <f>IF(A35="—","—",IFERROR(INDEX('BU Courses'!$C$2:$C$42,MATCH(A35,'BU Courses'!$A$2:$A$42,0)),"Not in sheet"))</f>
        <v>Biology</v>
      </c>
      <c r="D35" s="18">
        <f>IF(A35="—","—",IFERROR(INDEX('BU Courses'!$E$2:$E$42,MATCH(A35,'BU Courses'!$A$2:$A$42,0)),"Not in sheet"))</f>
        <v>4</v>
      </c>
      <c r="E35" s="19" t="s">
        <v>314</v>
      </c>
      <c r="F35" s="15" t="str">
        <f>IF(E35="—","—",IFERROR(INDEX('Northeastern Courses'!$B$2:$B$39,MATCH(E35,'Northeastern Courses'!$A$2:$A$39,0)),"Not in sheet"))</f>
        <v>Organic Chemistry 2</v>
      </c>
      <c r="G35" s="18">
        <f>IF(E35="—","—",IFERROR(INDEX('Northeastern Courses'!$E$2:$E$39,MATCH(E35,'Northeastern Courses'!$A$2:$A$39,0)),"Not in sheet"))</f>
        <v>5</v>
      </c>
      <c r="H35" s="15" t="s">
        <v>423</v>
      </c>
      <c r="I35" s="19" t="s">
        <v>398</v>
      </c>
      <c r="J35" s="15" t="str">
        <f>IF(I35="—","—",IFERROR(INDEX('NYU Courses'!$B$2:$B$39,MATCH(I35,'NYU Courses'!$A$2:$A$39,0)),"Not in sheet"))</f>
        <v>Organic Chemistry II</v>
      </c>
      <c r="K35" s="18">
        <f>IF(I35="—","—",IFERROR(INDEX('NYU Courses'!$E$2:$E$39,MATCH(I35,'NYU Courses'!$A$2:$A$39,0)),"Not in sheet"))</f>
        <v>5</v>
      </c>
      <c r="L35" s="15" t="s">
        <v>423</v>
      </c>
      <c r="M35" s="15" t="s">
        <v>458</v>
      </c>
    </row>
    <row r="36" spans="1:13" x14ac:dyDescent="0.3">
      <c r="A36" s="19" t="s">
        <v>222</v>
      </c>
      <c r="B36" s="15" t="str">
        <f>IF(A36="—","—",IFERROR(INDEX('BU Courses'!$B$2:$B$42,MATCH(A36,'BU Courses'!$A$2:$A$42,0)),"Not in sheet"))</f>
        <v>Calculus I</v>
      </c>
      <c r="C36" s="15" t="str">
        <f>IF(A36="—","—",IFERROR(INDEX('BU Courses'!$C$2:$C$42,MATCH(A36,'BU Courses'!$A$2:$A$42,0)),"Not in sheet"))</f>
        <v>Mathematics</v>
      </c>
      <c r="D36" s="18">
        <f>IF(A36="—","—",IFERROR(INDEX('BU Courses'!$E$2:$E$42,MATCH(A36,'BU Courses'!$A$2:$A$42,0)),"Not in sheet"))</f>
        <v>4</v>
      </c>
      <c r="E36" s="19" t="s">
        <v>316</v>
      </c>
      <c r="F36" s="15" t="str">
        <f>IF(E36="—","—",IFERROR(INDEX('Northeastern Courses'!$B$2:$B$39,MATCH(E36,'Northeastern Courses'!$A$2:$A$39,0)),"Not in sheet"))</f>
        <v>Calculus 1 for Science and Engineering</v>
      </c>
      <c r="G36" s="18">
        <f>IF(E36="—","—",IFERROR(INDEX('Northeastern Courses'!$E$2:$E$39,MATCH(E36,'Northeastern Courses'!$A$2:$A$39,0)),"Not in sheet"))</f>
        <v>4</v>
      </c>
      <c r="H36" s="15" t="s">
        <v>423</v>
      </c>
      <c r="I36" s="19" t="s">
        <v>400</v>
      </c>
      <c r="J36" s="15" t="str">
        <f>IF(I36="—","—",IFERROR(INDEX('NYU Courses'!$B$2:$B$39,MATCH(I36,'NYU Courses'!$A$2:$A$39,0)),"Not in sheet"))</f>
        <v>Calculus I</v>
      </c>
      <c r="K36" s="18">
        <f>IF(I36="—","—",IFERROR(INDEX('NYU Courses'!$E$2:$E$39,MATCH(I36,'NYU Courses'!$A$2:$A$39,0)),"Not in sheet"))</f>
        <v>4</v>
      </c>
      <c r="L36" s="15" t="s">
        <v>423</v>
      </c>
      <c r="M36" s="15" t="s">
        <v>459</v>
      </c>
    </row>
    <row r="37" spans="1:13" x14ac:dyDescent="0.3">
      <c r="A37" s="19" t="s">
        <v>225</v>
      </c>
      <c r="B37" s="15" t="str">
        <f>IF(A37="—","—",IFERROR(INDEX('BU Courses'!$B$2:$B$42,MATCH(A37,'BU Courses'!$A$2:$A$42,0)),"Not in sheet"))</f>
        <v>Calculus II</v>
      </c>
      <c r="C37" s="15" t="str">
        <f>IF(A37="—","—",IFERROR(INDEX('BU Courses'!$C$2:$C$42,MATCH(A37,'BU Courses'!$A$2:$A$42,0)),"Not in sheet"))</f>
        <v>Mathematics</v>
      </c>
      <c r="D37" s="18">
        <f>IF(A37="—","—",IFERROR(INDEX('BU Courses'!$E$2:$E$42,MATCH(A37,'BU Courses'!$A$2:$A$42,0)),"Not in sheet"))</f>
        <v>4</v>
      </c>
      <c r="E37" s="19" t="s">
        <v>319</v>
      </c>
      <c r="F37" s="15" t="str">
        <f>IF(E37="—","—",IFERROR(INDEX('Northeastern Courses'!$B$2:$B$39,MATCH(E37,'Northeastern Courses'!$A$2:$A$39,0)),"Not in sheet"))</f>
        <v>Calculus 2 for Science and Engineering</v>
      </c>
      <c r="G37" s="18">
        <f>IF(E37="—","—",IFERROR(INDEX('Northeastern Courses'!$E$2:$E$39,MATCH(E37,'Northeastern Courses'!$A$2:$A$39,0)),"Not in sheet"))</f>
        <v>4</v>
      </c>
      <c r="H37" s="15" t="s">
        <v>423</v>
      </c>
      <c r="I37" s="19" t="s">
        <v>401</v>
      </c>
      <c r="J37" s="15" t="str">
        <f>IF(I37="—","—",IFERROR(INDEX('NYU Courses'!$B$2:$B$39,MATCH(I37,'NYU Courses'!$A$2:$A$39,0)),"Not in sheet"))</f>
        <v>Calculus II</v>
      </c>
      <c r="K37" s="18">
        <f>IF(I37="—","—",IFERROR(INDEX('NYU Courses'!$E$2:$E$39,MATCH(I37,'NYU Courses'!$A$2:$A$39,0)),"Not in sheet"))</f>
        <v>4</v>
      </c>
      <c r="L37" s="15" t="s">
        <v>423</v>
      </c>
      <c r="M37" s="15" t="s">
        <v>460</v>
      </c>
    </row>
    <row r="38" spans="1:13" x14ac:dyDescent="0.3">
      <c r="A38" s="19" t="s">
        <v>227</v>
      </c>
      <c r="B38" s="15" t="str">
        <f>IF(A38="—","—",IFERROR(INDEX('BU Courses'!$B$2:$B$42,MATCH(A38,'BU Courses'!$A$2:$A$42,0)),"Not in sheet"))</f>
        <v>Multivariate Calculus</v>
      </c>
      <c r="C38" s="15" t="str">
        <f>IF(A38="—","—",IFERROR(INDEX('BU Courses'!$C$2:$C$42,MATCH(A38,'BU Courses'!$A$2:$A$42,0)),"Not in sheet"))</f>
        <v>Mathematics</v>
      </c>
      <c r="D38" s="18">
        <f>IF(A38="—","—",IFERROR(INDEX('BU Courses'!$E$2:$E$42,MATCH(A38,'BU Courses'!$A$2:$A$42,0)),"Not in sheet"))</f>
        <v>4</v>
      </c>
      <c r="E38" s="19" t="s">
        <v>321</v>
      </c>
      <c r="F38" s="15" t="str">
        <f>IF(E38="—","—",IFERROR(INDEX('Northeastern Courses'!$B$2:$B$39,MATCH(E38,'Northeastern Courses'!$A$2:$A$39,0)),"Not in sheet"))</f>
        <v>Calculus 3 for Science and Engineering</v>
      </c>
      <c r="G38" s="18">
        <f>IF(E38="—","—",IFERROR(INDEX('Northeastern Courses'!$E$2:$E$39,MATCH(E38,'Northeastern Courses'!$A$2:$A$39,0)),"Not in sheet"))</f>
        <v>4</v>
      </c>
      <c r="H38" s="15" t="s">
        <v>423</v>
      </c>
      <c r="I38" s="19" t="s">
        <v>402</v>
      </c>
      <c r="J38" s="15" t="str">
        <f>IF(I38="—","—",IFERROR(INDEX('NYU Courses'!$B$2:$B$39,MATCH(I38,'NYU Courses'!$A$2:$A$39,0)),"Not in sheet"))</f>
        <v>Calculus III</v>
      </c>
      <c r="K38" s="18">
        <f>IF(I38="—","—",IFERROR(INDEX('NYU Courses'!$E$2:$E$39,MATCH(I38,'NYU Courses'!$A$2:$A$39,0)),"Not in sheet"))</f>
        <v>4</v>
      </c>
      <c r="L38" s="15" t="s">
        <v>423</v>
      </c>
      <c r="M38" s="15" t="s">
        <v>461</v>
      </c>
    </row>
    <row r="39" spans="1:13" x14ac:dyDescent="0.3">
      <c r="A39" s="19" t="s">
        <v>229</v>
      </c>
      <c r="B39" s="15" t="str">
        <f>IF(A39="—","—",IFERROR(INDEX('BU Courses'!$B$2:$B$42,MATCH(A39,'BU Courses'!$A$2:$A$42,0)),"Not in sheet"))</f>
        <v>Linear Algebra</v>
      </c>
      <c r="C39" s="15" t="str">
        <f>IF(A39="—","—",IFERROR(INDEX('BU Courses'!$C$2:$C$42,MATCH(A39,'BU Courses'!$A$2:$A$42,0)),"Not in sheet"))</f>
        <v>Mathematics</v>
      </c>
      <c r="D39" s="18">
        <f>IF(A39="—","—",IFERROR(INDEX('BU Courses'!$E$2:$E$42,MATCH(A39,'BU Courses'!$A$2:$A$42,0)),"Not in sheet"))</f>
        <v>4</v>
      </c>
      <c r="E39" s="19" t="s">
        <v>324</v>
      </c>
      <c r="F39" s="15" t="str">
        <f>IF(E39="—","—",IFERROR(INDEX('Northeastern Courses'!$B$2:$B$39,MATCH(E39,'Northeastern Courses'!$A$2:$A$39,0)),"Not in sheet"))</f>
        <v>Linear Algebra</v>
      </c>
      <c r="G39" s="18">
        <f>IF(E39="—","—",IFERROR(INDEX('Northeastern Courses'!$E$2:$E$39,MATCH(E39,'Northeastern Courses'!$A$2:$A$39,0)),"Not in sheet"))</f>
        <v>4</v>
      </c>
      <c r="H39" s="15" t="s">
        <v>423</v>
      </c>
      <c r="I39" s="19" t="s">
        <v>404</v>
      </c>
      <c r="J39" s="15" t="str">
        <f>IF(I39="—","—",IFERROR(INDEX('NYU Courses'!$B$2:$B$39,MATCH(I39,'NYU Courses'!$A$2:$A$39,0)),"Not in sheet"))</f>
        <v>Linear Algebra</v>
      </c>
      <c r="K39" s="18">
        <f>IF(I39="—","—",IFERROR(INDEX('NYU Courses'!$E$2:$E$39,MATCH(I39,'NYU Courses'!$A$2:$A$39,0)),"Not in sheet"))</f>
        <v>4</v>
      </c>
      <c r="L39" s="15" t="s">
        <v>423</v>
      </c>
      <c r="M39" s="15" t="s">
        <v>462</v>
      </c>
    </row>
    <row r="40" spans="1:13" ht="26.4" x14ac:dyDescent="0.3">
      <c r="A40" s="19" t="s">
        <v>232</v>
      </c>
      <c r="B40" s="15" t="str">
        <f>IF(A40="—","—",IFERROR(INDEX('BU Courses'!$B$2:$B$42,MATCH(A40,'BU Courses'!$A$2:$A$42,0)),"Not in sheet"))</f>
        <v>Differential Equations</v>
      </c>
      <c r="C40" s="15" t="str">
        <f>IF(A40="—","—",IFERROR(INDEX('BU Courses'!$C$2:$C$42,MATCH(A40,'BU Courses'!$A$2:$A$42,0)),"Not in sheet"))</f>
        <v>Mathematics</v>
      </c>
      <c r="D40" s="18">
        <f>IF(A40="—","—",IFERROR(INDEX('BU Courses'!$E$2:$E$42,MATCH(A40,'BU Courses'!$A$2:$A$42,0)),"Not in sheet"))</f>
        <v>4</v>
      </c>
      <c r="E40" s="19" t="s">
        <v>326</v>
      </c>
      <c r="F40" s="15" t="str">
        <f>IF(E40="—","—",IFERROR(INDEX('Northeastern Courses'!$B$2:$B$39,MATCH(E40,'Northeastern Courses'!$A$2:$A$39,0)),"Not in sheet"))</f>
        <v>Differential Equations and Linear Algebra for Engineering</v>
      </c>
      <c r="G40" s="18">
        <f>IF(E40="—","—",IFERROR(INDEX('Northeastern Courses'!$E$2:$E$39,MATCH(E40,'Northeastern Courses'!$A$2:$A$39,0)),"Not in sheet"))</f>
        <v>4</v>
      </c>
      <c r="H40" s="15" t="s">
        <v>425</v>
      </c>
      <c r="I40" s="19" t="s">
        <v>405</v>
      </c>
      <c r="J40" s="15" t="str">
        <f>IF(I40="—","—",IFERROR(INDEX('NYU Courses'!$B$2:$B$39,MATCH(I40,'NYU Courses'!$A$2:$A$39,0)),"Not in sheet"))</f>
        <v>Ordinary Differential Equations</v>
      </c>
      <c r="K40" s="18">
        <f>IF(I40="—","—",IFERROR(INDEX('NYU Courses'!$E$2:$E$39,MATCH(I40,'NYU Courses'!$A$2:$A$39,0)),"Not in sheet"))</f>
        <v>4</v>
      </c>
      <c r="L40" s="15" t="s">
        <v>423</v>
      </c>
      <c r="M40" s="15" t="s">
        <v>463</v>
      </c>
    </row>
    <row r="41" spans="1:13" x14ac:dyDescent="0.3">
      <c r="A41" s="19" t="s">
        <v>236</v>
      </c>
      <c r="B41" s="15" t="str">
        <f>IF(A41="—","—",IFERROR(INDEX('BU Courses'!$B$2:$B$42,MATCH(A41,'BU Courses'!$A$2:$A$42,0)),"Not in sheet"))</f>
        <v>Discrete Mathematics</v>
      </c>
      <c r="C41" s="15" t="str">
        <f>IF(A41="—","—",IFERROR(INDEX('BU Courses'!$C$2:$C$42,MATCH(A41,'BU Courses'!$A$2:$A$42,0)),"Not in sheet"))</f>
        <v>Mathematics</v>
      </c>
      <c r="D41" s="18">
        <f>IF(A41="—","—",IFERROR(INDEX('BU Courses'!$E$2:$E$42,MATCH(A41,'BU Courses'!$A$2:$A$42,0)),"Not in sheet"))</f>
        <v>4</v>
      </c>
      <c r="E41" s="19" t="s">
        <v>328</v>
      </c>
      <c r="F41" s="15" t="str">
        <f>IF(E41="—","—",IFERROR(INDEX('Northeastern Courses'!$B$2:$B$39,MATCH(E41,'Northeastern Courses'!$A$2:$A$39,0)),"Not in sheet"))</f>
        <v>Introduction to Mathematical Reasoning</v>
      </c>
      <c r="G41" s="18">
        <f>IF(E41="—","—",IFERROR(INDEX('Northeastern Courses'!$E$2:$E$39,MATCH(E41,'Northeastern Courses'!$A$2:$A$39,0)),"Not in sheet"))</f>
        <v>4</v>
      </c>
      <c r="H41" s="15" t="s">
        <v>425</v>
      </c>
      <c r="I41" s="19" t="s">
        <v>344</v>
      </c>
      <c r="J41" s="15" t="str">
        <f>IF(I41="—","—",IFERROR(INDEX('NYU Courses'!$B$2:$B$39,MATCH(I41,'NYU Courses'!$A$2:$A$39,0)),"Not in sheet"))</f>
        <v>Discrete Mathematics</v>
      </c>
      <c r="K41" s="18">
        <f>IF(I41="—","—",IFERROR(INDEX('NYU Courses'!$E$2:$E$39,MATCH(I41,'NYU Courses'!$A$2:$A$39,0)),"Not in sheet"))</f>
        <v>4</v>
      </c>
      <c r="L41" s="15" t="s">
        <v>423</v>
      </c>
      <c r="M41" s="15" t="s">
        <v>464</v>
      </c>
    </row>
    <row r="42" spans="1:13" x14ac:dyDescent="0.3">
      <c r="A42" s="19" t="s">
        <v>238</v>
      </c>
      <c r="B42" s="15" t="str">
        <f>IF(A42="—","—",IFERROR(INDEX('BU Courses'!$B$2:$B$42,MATCH(A42,'BU Courses'!$A$2:$A$42,0)),"Not in sheet"))</f>
        <v>Probability</v>
      </c>
      <c r="C42" s="15" t="str">
        <f>IF(A42="—","—",IFERROR(INDEX('BU Courses'!$C$2:$C$42,MATCH(A42,'BU Courses'!$A$2:$A$42,0)),"Not in sheet"))</f>
        <v>Mathematics</v>
      </c>
      <c r="D42" s="18">
        <f>IF(A42="—","—",IFERROR(INDEX('BU Courses'!$E$2:$E$42,MATCH(A42,'BU Courses'!$A$2:$A$42,0)),"Not in sheet"))</f>
        <v>4</v>
      </c>
      <c r="E42" s="19" t="s">
        <v>330</v>
      </c>
      <c r="F42" s="15" t="str">
        <f>IF(E42="—","—",IFERROR(INDEX('Northeastern Courses'!$B$2:$B$39,MATCH(E42,'Northeastern Courses'!$A$2:$A$39,0)),"Not in sheet"))</f>
        <v>Probability and Statistics</v>
      </c>
      <c r="G42" s="18">
        <f>IF(E42="—","—",IFERROR(INDEX('Northeastern Courses'!$E$2:$E$39,MATCH(E42,'Northeastern Courses'!$A$2:$A$39,0)),"Not in sheet"))</f>
        <v>4</v>
      </c>
      <c r="H42" s="15" t="s">
        <v>425</v>
      </c>
      <c r="I42" s="19" t="s">
        <v>408</v>
      </c>
      <c r="J42" s="15" t="str">
        <f>IF(I42="—","—",IFERROR(INDEX('NYU Courses'!$B$2:$B$39,MATCH(I42,'NYU Courses'!$A$2:$A$39,0)),"Not in sheet"))</f>
        <v>Theory of Probability</v>
      </c>
      <c r="K42" s="18">
        <f>IF(I42="—","—",IFERROR(INDEX('NYU Courses'!$E$2:$E$39,MATCH(I42,'NYU Courses'!$A$2:$A$39,0)),"Not in sheet"))</f>
        <v>4</v>
      </c>
      <c r="L42" s="15" t="s">
        <v>423</v>
      </c>
      <c r="M42" s="15" t="s">
        <v>465</v>
      </c>
    </row>
    <row r="44" spans="1:13" x14ac:dyDescent="0.3">
      <c r="A44" s="11" t="s">
        <v>466</v>
      </c>
    </row>
  </sheetData>
  <autoFilter ref="A1:M42" xr:uid="{00000000-0009-0000-0000-000006000000}"/>
  <conditionalFormatting sqref="H2:H42">
    <cfRule type="cellIs" dxfId="7" priority="2" operator="equal">
      <formula>"Likely equivalent"</formula>
    </cfRule>
    <cfRule type="cellIs" dxfId="6" priority="3" operator="equal">
      <formula>"Partial - syllabus review"</formula>
    </cfRule>
    <cfRule type="cellIs" dxfId="5" priority="4" operator="equal">
      <formula>"No equivalent found"</formula>
    </cfRule>
    <cfRule type="cellIs" dxfId="4" priority="5" operator="equal">
      <formula>"Must be taken at BU"</formula>
    </cfRule>
  </conditionalFormatting>
  <conditionalFormatting sqref="L2:L42">
    <cfRule type="cellIs" dxfId="3" priority="6" operator="equal">
      <formula>"Likely equivalent"</formula>
    </cfRule>
    <cfRule type="cellIs" dxfId="2" priority="7" operator="equal">
      <formula>"Partial - syllabus review"</formula>
    </cfRule>
    <cfRule type="cellIs" dxfId="1" priority="8" operator="equal">
      <formula>"No equivalent found"</formula>
    </cfRule>
    <cfRule type="cellIs" dxfId="0" priority="9" operator="equal">
      <formula>"Must be taken at BU"</formula>
    </cfRule>
  </conditionalFormatting>
  <dataValidations count="1">
    <dataValidation type="list" allowBlank="1" sqref="H2:H42 L2:L42" xr:uid="{00000000-0002-0000-0600-000000000000}">
      <formula1>"Likely equivalent,Partial - syllabus review,No equivalent found,Must be taken at BU"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12" customWidth="1"/>
    <col min="3" max="7" width="18" customWidth="1"/>
  </cols>
  <sheetData>
    <row r="1" spans="1:7" ht="17.399999999999999" x14ac:dyDescent="0.3">
      <c r="A1" s="10" t="s">
        <v>467</v>
      </c>
    </row>
    <row r="2" spans="1:7" x14ac:dyDescent="0.3">
      <c r="A2" s="11" t="s">
        <v>468</v>
      </c>
    </row>
    <row r="4" spans="1:7" ht="15.6" x14ac:dyDescent="0.3">
      <c r="A4" s="14" t="s">
        <v>469</v>
      </c>
    </row>
    <row r="5" spans="1:7" ht="27.6" x14ac:dyDescent="0.3">
      <c r="A5" s="20" t="s">
        <v>129</v>
      </c>
      <c r="B5" s="20" t="s">
        <v>470</v>
      </c>
      <c r="C5" s="21" t="s">
        <v>423</v>
      </c>
      <c r="D5" s="22" t="s">
        <v>425</v>
      </c>
      <c r="E5" s="23" t="s">
        <v>432</v>
      </c>
      <c r="F5" s="24" t="s">
        <v>435</v>
      </c>
      <c r="G5" s="20" t="s">
        <v>471</v>
      </c>
    </row>
    <row r="6" spans="1:7" x14ac:dyDescent="0.3">
      <c r="A6" s="25" t="s">
        <v>65</v>
      </c>
      <c r="B6" s="26">
        <f>COUNTIF('Course Match'!$C$2:$C$42,$A6)</f>
        <v>11</v>
      </c>
      <c r="C6" s="26">
        <f>COUNTIFS('Course Match'!$C$2:$C$42,$A6,'Course Match'!$H$2:$H$42,C$5)</f>
        <v>4</v>
      </c>
      <c r="D6" s="26">
        <f>COUNTIFS('Course Match'!$C$2:$C$42,$A6,'Course Match'!$H$2:$H$42,D$5)</f>
        <v>3</v>
      </c>
      <c r="E6" s="26">
        <f>COUNTIFS('Course Match'!$C$2:$C$42,$A6,'Course Match'!$H$2:$H$42,E$5)</f>
        <v>1</v>
      </c>
      <c r="F6" s="26">
        <f>COUNTIFS('Course Match'!$C$2:$C$42,$A6,'Course Match'!$H$2:$H$42,F$5)</f>
        <v>3</v>
      </c>
      <c r="G6" s="27">
        <f t="shared" ref="G6:G11" si="0">IF(B6=0,0,C6/B6)</f>
        <v>0.36363636363636365</v>
      </c>
    </row>
    <row r="7" spans="1:7" x14ac:dyDescent="0.3">
      <c r="A7" s="25" t="s">
        <v>82</v>
      </c>
      <c r="B7" s="26">
        <f>COUNTIF('Course Match'!$C$2:$C$42,$A7)</f>
        <v>6</v>
      </c>
      <c r="C7" s="26">
        <f>COUNTIFS('Course Match'!$C$2:$C$42,$A7,'Course Match'!$H$2:$H$42,C$5)</f>
        <v>5</v>
      </c>
      <c r="D7" s="26">
        <f>COUNTIFS('Course Match'!$C$2:$C$42,$A7,'Course Match'!$H$2:$H$42,D$5)</f>
        <v>1</v>
      </c>
      <c r="E7" s="26">
        <f>COUNTIFS('Course Match'!$C$2:$C$42,$A7,'Course Match'!$H$2:$H$42,E$5)</f>
        <v>0</v>
      </c>
      <c r="F7" s="26">
        <f>COUNTIFS('Course Match'!$C$2:$C$42,$A7,'Course Match'!$H$2:$H$42,F$5)</f>
        <v>0</v>
      </c>
      <c r="G7" s="27">
        <f t="shared" si="0"/>
        <v>0.83333333333333337</v>
      </c>
    </row>
    <row r="8" spans="1:7" x14ac:dyDescent="0.3">
      <c r="A8" s="25" t="s">
        <v>94</v>
      </c>
      <c r="B8" s="26">
        <f>COUNTIF('Course Match'!$C$2:$C$42,$A8)</f>
        <v>9</v>
      </c>
      <c r="C8" s="26">
        <f>COUNTIFS('Course Match'!$C$2:$C$42,$A8,'Course Match'!$H$2:$H$42,C$5)</f>
        <v>4</v>
      </c>
      <c r="D8" s="26">
        <f>COUNTIFS('Course Match'!$C$2:$C$42,$A8,'Course Match'!$H$2:$H$42,D$5)</f>
        <v>1</v>
      </c>
      <c r="E8" s="26">
        <f>COUNTIFS('Course Match'!$C$2:$C$42,$A8,'Course Match'!$H$2:$H$42,E$5)</f>
        <v>4</v>
      </c>
      <c r="F8" s="26">
        <f>COUNTIFS('Course Match'!$C$2:$C$42,$A8,'Course Match'!$H$2:$H$42,F$5)</f>
        <v>0</v>
      </c>
      <c r="G8" s="27">
        <f t="shared" si="0"/>
        <v>0.44444444444444442</v>
      </c>
    </row>
    <row r="9" spans="1:7" x14ac:dyDescent="0.3">
      <c r="A9" s="25" t="s">
        <v>107</v>
      </c>
      <c r="B9" s="26">
        <f>COUNTIF('Course Match'!$C$2:$C$42,$A9)</f>
        <v>8</v>
      </c>
      <c r="C9" s="26">
        <f>COUNTIFS('Course Match'!$C$2:$C$42,$A9,'Course Match'!$H$2:$H$42,C$5)</f>
        <v>4</v>
      </c>
      <c r="D9" s="26">
        <f>COUNTIFS('Course Match'!$C$2:$C$42,$A9,'Course Match'!$H$2:$H$42,D$5)</f>
        <v>3</v>
      </c>
      <c r="E9" s="26">
        <f>COUNTIFS('Course Match'!$C$2:$C$42,$A9,'Course Match'!$H$2:$H$42,E$5)</f>
        <v>1</v>
      </c>
      <c r="F9" s="26">
        <f>COUNTIFS('Course Match'!$C$2:$C$42,$A9,'Course Match'!$H$2:$H$42,F$5)</f>
        <v>0</v>
      </c>
      <c r="G9" s="27">
        <f t="shared" si="0"/>
        <v>0.5</v>
      </c>
    </row>
    <row r="10" spans="1:7" x14ac:dyDescent="0.3">
      <c r="A10" s="25" t="s">
        <v>119</v>
      </c>
      <c r="B10" s="26">
        <f>COUNTIF('Course Match'!$C$2:$C$42,$A10)</f>
        <v>7</v>
      </c>
      <c r="C10" s="26">
        <f>COUNTIFS('Course Match'!$C$2:$C$42,$A10,'Course Match'!$H$2:$H$42,C$5)</f>
        <v>4</v>
      </c>
      <c r="D10" s="26">
        <f>COUNTIFS('Course Match'!$C$2:$C$42,$A10,'Course Match'!$H$2:$H$42,D$5)</f>
        <v>3</v>
      </c>
      <c r="E10" s="26">
        <f>COUNTIFS('Course Match'!$C$2:$C$42,$A10,'Course Match'!$H$2:$H$42,E$5)</f>
        <v>0</v>
      </c>
      <c r="F10" s="26">
        <f>COUNTIFS('Course Match'!$C$2:$C$42,$A10,'Course Match'!$H$2:$H$42,F$5)</f>
        <v>0</v>
      </c>
      <c r="G10" s="27">
        <f t="shared" si="0"/>
        <v>0.5714285714285714</v>
      </c>
    </row>
    <row r="11" spans="1:7" x14ac:dyDescent="0.3">
      <c r="A11" s="28" t="s">
        <v>472</v>
      </c>
      <c r="B11" s="29">
        <f>SUM(B6:B10)</f>
        <v>41</v>
      </c>
      <c r="C11" s="29">
        <f>SUM(C6:C10)</f>
        <v>21</v>
      </c>
      <c r="D11" s="29">
        <f>SUM(D6:D10)</f>
        <v>11</v>
      </c>
      <c r="E11" s="29">
        <f>SUM(E6:E10)</f>
        <v>6</v>
      </c>
      <c r="F11" s="29">
        <f>SUM(F6:F10)</f>
        <v>3</v>
      </c>
      <c r="G11" s="30">
        <f t="shared" si="0"/>
        <v>0.51219512195121952</v>
      </c>
    </row>
    <row r="14" spans="1:7" ht="15.6" x14ac:dyDescent="0.3">
      <c r="A14" s="14" t="s">
        <v>473</v>
      </c>
    </row>
    <row r="15" spans="1:7" ht="27.6" x14ac:dyDescent="0.3">
      <c r="A15" s="20" t="s">
        <v>129</v>
      </c>
      <c r="B15" s="20" t="s">
        <v>470</v>
      </c>
      <c r="C15" s="21" t="s">
        <v>423</v>
      </c>
      <c r="D15" s="22" t="s">
        <v>425</v>
      </c>
      <c r="E15" s="23" t="s">
        <v>432</v>
      </c>
      <c r="F15" s="24" t="s">
        <v>435</v>
      </c>
      <c r="G15" s="20" t="s">
        <v>471</v>
      </c>
    </row>
    <row r="16" spans="1:7" x14ac:dyDescent="0.3">
      <c r="A16" s="25" t="s">
        <v>65</v>
      </c>
      <c r="B16" s="26">
        <f>COUNTIF('Course Match'!$C$2:$C$42,$A16)</f>
        <v>11</v>
      </c>
      <c r="C16" s="26">
        <f>COUNTIFS('Course Match'!$C$2:$C$42,$A16,'Course Match'!$L$2:$L$42,C$15)</f>
        <v>5</v>
      </c>
      <c r="D16" s="26">
        <f>COUNTIFS('Course Match'!$C$2:$C$42,$A16,'Course Match'!$L$2:$L$42,D$15)</f>
        <v>2</v>
      </c>
      <c r="E16" s="26">
        <f>COUNTIFS('Course Match'!$C$2:$C$42,$A16,'Course Match'!$L$2:$L$42,E$15)</f>
        <v>1</v>
      </c>
      <c r="F16" s="26">
        <f>COUNTIFS('Course Match'!$C$2:$C$42,$A16,'Course Match'!$L$2:$L$42,F$15)</f>
        <v>3</v>
      </c>
      <c r="G16" s="27">
        <f t="shared" ref="G16:G21" si="1">IF(B16=0,0,C16/B16)</f>
        <v>0.45454545454545453</v>
      </c>
    </row>
    <row r="17" spans="1:7" x14ac:dyDescent="0.3">
      <c r="A17" s="25" t="s">
        <v>82</v>
      </c>
      <c r="B17" s="26">
        <f>COUNTIF('Course Match'!$C$2:$C$42,$A17)</f>
        <v>6</v>
      </c>
      <c r="C17" s="26">
        <f>COUNTIFS('Course Match'!$C$2:$C$42,$A17,'Course Match'!$L$2:$L$42,C$15)</f>
        <v>5</v>
      </c>
      <c r="D17" s="26">
        <f>COUNTIFS('Course Match'!$C$2:$C$42,$A17,'Course Match'!$L$2:$L$42,D$15)</f>
        <v>1</v>
      </c>
      <c r="E17" s="26">
        <f>COUNTIFS('Course Match'!$C$2:$C$42,$A17,'Course Match'!$L$2:$L$42,E$15)</f>
        <v>0</v>
      </c>
      <c r="F17" s="26">
        <f>COUNTIFS('Course Match'!$C$2:$C$42,$A17,'Course Match'!$L$2:$L$42,F$15)</f>
        <v>0</v>
      </c>
      <c r="G17" s="27">
        <f t="shared" si="1"/>
        <v>0.83333333333333337</v>
      </c>
    </row>
    <row r="18" spans="1:7" x14ac:dyDescent="0.3">
      <c r="A18" s="25" t="s">
        <v>94</v>
      </c>
      <c r="B18" s="26">
        <f>COUNTIF('Course Match'!$C$2:$C$42,$A18)</f>
        <v>9</v>
      </c>
      <c r="C18" s="26">
        <f>COUNTIFS('Course Match'!$C$2:$C$42,$A18,'Course Match'!$L$2:$L$42,C$15)</f>
        <v>7</v>
      </c>
      <c r="D18" s="26">
        <f>COUNTIFS('Course Match'!$C$2:$C$42,$A18,'Course Match'!$L$2:$L$42,D$15)</f>
        <v>2</v>
      </c>
      <c r="E18" s="26">
        <f>COUNTIFS('Course Match'!$C$2:$C$42,$A18,'Course Match'!$L$2:$L$42,E$15)</f>
        <v>0</v>
      </c>
      <c r="F18" s="26">
        <f>COUNTIFS('Course Match'!$C$2:$C$42,$A18,'Course Match'!$L$2:$L$42,F$15)</f>
        <v>0</v>
      </c>
      <c r="G18" s="27">
        <f t="shared" si="1"/>
        <v>0.77777777777777779</v>
      </c>
    </row>
    <row r="19" spans="1:7" x14ac:dyDescent="0.3">
      <c r="A19" s="25" t="s">
        <v>107</v>
      </c>
      <c r="B19" s="26">
        <f>COUNTIF('Course Match'!$C$2:$C$42,$A19)</f>
        <v>8</v>
      </c>
      <c r="C19" s="26">
        <f>COUNTIFS('Course Match'!$C$2:$C$42,$A19,'Course Match'!$L$2:$L$42,C$15)</f>
        <v>7</v>
      </c>
      <c r="D19" s="26">
        <f>COUNTIFS('Course Match'!$C$2:$C$42,$A19,'Course Match'!$L$2:$L$42,D$15)</f>
        <v>1</v>
      </c>
      <c r="E19" s="26">
        <f>COUNTIFS('Course Match'!$C$2:$C$42,$A19,'Course Match'!$L$2:$L$42,E$15)</f>
        <v>0</v>
      </c>
      <c r="F19" s="26">
        <f>COUNTIFS('Course Match'!$C$2:$C$42,$A19,'Course Match'!$L$2:$L$42,F$15)</f>
        <v>0</v>
      </c>
      <c r="G19" s="27">
        <f t="shared" si="1"/>
        <v>0.875</v>
      </c>
    </row>
    <row r="20" spans="1:7" x14ac:dyDescent="0.3">
      <c r="A20" s="25" t="s">
        <v>119</v>
      </c>
      <c r="B20" s="26">
        <f>COUNTIF('Course Match'!$C$2:$C$42,$A20)</f>
        <v>7</v>
      </c>
      <c r="C20" s="26">
        <f>COUNTIFS('Course Match'!$C$2:$C$42,$A20,'Course Match'!$L$2:$L$42,C$15)</f>
        <v>7</v>
      </c>
      <c r="D20" s="26">
        <f>COUNTIFS('Course Match'!$C$2:$C$42,$A20,'Course Match'!$L$2:$L$42,D$15)</f>
        <v>0</v>
      </c>
      <c r="E20" s="26">
        <f>COUNTIFS('Course Match'!$C$2:$C$42,$A20,'Course Match'!$L$2:$L$42,E$15)</f>
        <v>0</v>
      </c>
      <c r="F20" s="26">
        <f>COUNTIFS('Course Match'!$C$2:$C$42,$A20,'Course Match'!$L$2:$L$42,F$15)</f>
        <v>0</v>
      </c>
      <c r="G20" s="27">
        <f t="shared" si="1"/>
        <v>1</v>
      </c>
    </row>
    <row r="21" spans="1:7" x14ac:dyDescent="0.3">
      <c r="A21" s="28" t="s">
        <v>472</v>
      </c>
      <c r="B21" s="29">
        <f>SUM(B16:B20)</f>
        <v>41</v>
      </c>
      <c r="C21" s="29">
        <f>SUM(C16:C20)</f>
        <v>31</v>
      </c>
      <c r="D21" s="29">
        <f>SUM(D16:D20)</f>
        <v>6</v>
      </c>
      <c r="E21" s="29">
        <f>SUM(E16:E20)</f>
        <v>1</v>
      </c>
      <c r="F21" s="29">
        <f>SUM(F16:F20)</f>
        <v>3</v>
      </c>
      <c r="G21" s="30">
        <f t="shared" si="1"/>
        <v>0.75609756097560976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README</vt:lpstr>
      <vt:lpstr>Transfer Lookup</vt:lpstr>
      <vt:lpstr>Programs</vt:lpstr>
      <vt:lpstr>BU Courses</vt:lpstr>
      <vt:lpstr>Northeastern Courses</vt:lpstr>
      <vt:lpstr>NYU Courses</vt:lpstr>
      <vt:lpstr>Course Match</vt:lpstr>
      <vt:lpstr>Match Summary</vt:lpstr>
      <vt:lpstr>NU_Codes</vt:lpstr>
      <vt:lpstr>NYU_Codes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Kezia Rani Singh</cp:lastModifiedBy>
  <cp:revision>0</cp:revision>
  <dcterms:created xsi:type="dcterms:W3CDTF">2026-10-22T10:38:12Z</dcterms:created>
  <dcterms:modified xsi:type="dcterms:W3CDTF">2026-10-22T12:08:25Z</dcterms:modified>
  <dc:language>en-US</dc:language>
</cp:coreProperties>
</file>